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19bf3b684c7c9c/My Files/0 - University/M^0A Valuation and Acquisition analysis/"/>
    </mc:Choice>
  </mc:AlternateContent>
  <xr:revisionPtr revIDLastSave="5530" documentId="8_{23C71046-3042-43F6-93C6-F569A128DCA5}" xr6:coauthVersionLast="47" xr6:coauthVersionMax="47" xr10:uidLastSave="{59C45792-4D13-4688-B180-B79CFCCDAA06}"/>
  <bookViews>
    <workbookView xWindow="-110" yWindow="-110" windowWidth="23260" windowHeight="14860" tabRatio="740" firstSheet="1" activeTab="1" xr2:uid="{4B3C33E8-8823-4295-AB23-93FB2C027124}"/>
  </bookViews>
  <sheets>
    <sheet name="Cover &amp; Index" sheetId="1" r:id="rId1"/>
    <sheet name="B&amp;M Operating Model" sheetId="3" r:id="rId2"/>
    <sheet name="Poundland Operating Model" sheetId="4" r:id="rId3"/>
    <sheet name="Valuation" sheetId="6" r:id="rId4"/>
    <sheet name="M&amp;A Analysis" sheetId="8" r:id="rId5"/>
    <sheet name="Synergies and Integration" sheetId="16" r:id="rId6"/>
    <sheet name="Accretion &amp; Dilution" sheetId="9" r:id="rId7"/>
    <sheet name="Summary &amp; Sensitivities" sheetId="10" r:id="rId8"/>
  </sheets>
  <definedNames>
    <definedName name="_xlnm.Print_Area" localSheetId="4">'M&amp;A Analysis'!$A$1:$DC$173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7" i="16" l="1"/>
  <c r="D57" i="16"/>
  <c r="E57" i="16"/>
  <c r="F57" i="16"/>
  <c r="D103" i="10" s="1"/>
  <c r="C56" i="16"/>
  <c r="D56" i="16"/>
  <c r="E56" i="16"/>
  <c r="F56" i="16"/>
  <c r="B57" i="16"/>
  <c r="B56" i="16"/>
  <c r="C92" i="10"/>
  <c r="D92" i="10"/>
  <c r="E92" i="10"/>
  <c r="F92" i="10"/>
  <c r="G92" i="10"/>
  <c r="H92" i="10"/>
  <c r="B92" i="10"/>
  <c r="C91" i="10"/>
  <c r="D91" i="10"/>
  <c r="E91" i="10"/>
  <c r="F91" i="10"/>
  <c r="G91" i="10"/>
  <c r="H91" i="10"/>
  <c r="B91" i="10"/>
  <c r="B23" i="8"/>
  <c r="H29" i="8"/>
  <c r="H28" i="8"/>
  <c r="H24" i="8"/>
  <c r="H22" i="8"/>
  <c r="H23" i="8"/>
  <c r="H25" i="8" s="1"/>
  <c r="H26" i="8"/>
  <c r="B54" i="8"/>
  <c r="C54" i="8"/>
  <c r="D85" i="9"/>
  <c r="E103" i="10"/>
  <c r="E102" i="10"/>
  <c r="D102" i="10"/>
  <c r="C102" i="10"/>
  <c r="B102" i="10"/>
  <c r="D83" i="9"/>
  <c r="B16" i="6"/>
  <c r="B17" i="6"/>
  <c r="B18" i="6"/>
  <c r="B19" i="6"/>
  <c r="B55" i="8"/>
  <c r="B53" i="8"/>
  <c r="F20" i="3"/>
  <c r="K15" i="3"/>
  <c r="B55" i="9" s="1"/>
  <c r="K16" i="3"/>
  <c r="K22" i="3"/>
  <c r="K18" i="3"/>
  <c r="B49" i="10"/>
  <c r="B47" i="10"/>
  <c r="B46" i="10"/>
  <c r="F21" i="16"/>
  <c r="E21" i="16"/>
  <c r="D21" i="16"/>
  <c r="F20" i="16"/>
  <c r="D20" i="16"/>
  <c r="E20" i="16"/>
  <c r="B19" i="16"/>
  <c r="E19" i="16"/>
  <c r="F19" i="16"/>
  <c r="D19" i="16"/>
  <c r="C19" i="16"/>
  <c r="E18" i="16"/>
  <c r="D18" i="16"/>
  <c r="C18" i="16"/>
  <c r="B18" i="16"/>
  <c r="C17" i="16"/>
  <c r="E17" i="16"/>
  <c r="D17" i="16"/>
  <c r="C21" i="16"/>
  <c r="B21" i="16"/>
  <c r="C20" i="16"/>
  <c r="E8" i="16"/>
  <c r="D8" i="16"/>
  <c r="C8" i="16"/>
  <c r="B8" i="16"/>
  <c r="D7" i="16"/>
  <c r="C7" i="16"/>
  <c r="B7" i="16"/>
  <c r="D29" i="16"/>
  <c r="E29" i="16" s="1"/>
  <c r="C29" i="16"/>
  <c r="C31" i="16" s="1"/>
  <c r="F17" i="16"/>
  <c r="F18" i="16"/>
  <c r="F7" i="16"/>
  <c r="C41" i="10"/>
  <c r="D41" i="10"/>
  <c r="B41" i="10"/>
  <c r="C40" i="10"/>
  <c r="D40" i="10"/>
  <c r="B40" i="10"/>
  <c r="D39" i="10"/>
  <c r="C39" i="10"/>
  <c r="B39" i="10"/>
  <c r="B26" i="10"/>
  <c r="B17" i="10"/>
  <c r="B11" i="10"/>
  <c r="C44" i="16"/>
  <c r="C49" i="16" s="1"/>
  <c r="C59" i="16" s="1"/>
  <c r="F20" i="4"/>
  <c r="C76" i="9"/>
  <c r="D76" i="9"/>
  <c r="E76" i="9"/>
  <c r="F76" i="9"/>
  <c r="B76" i="9"/>
  <c r="O22" i="4"/>
  <c r="O23" i="4" s="1"/>
  <c r="N22" i="4"/>
  <c r="M22" i="4"/>
  <c r="M23" i="4" s="1"/>
  <c r="L22" i="4"/>
  <c r="L23" i="4" s="1"/>
  <c r="K22" i="4"/>
  <c r="O22" i="3"/>
  <c r="N22" i="3"/>
  <c r="M22" i="3"/>
  <c r="L22" i="3"/>
  <c r="K23" i="4"/>
  <c r="K24" i="4" s="1"/>
  <c r="K25" i="4" s="1"/>
  <c r="N23" i="4"/>
  <c r="F84" i="9"/>
  <c r="E84" i="9"/>
  <c r="D84" i="9"/>
  <c r="C84" i="9"/>
  <c r="B84" i="9"/>
  <c r="F83" i="9"/>
  <c r="E83" i="9"/>
  <c r="C83" i="9"/>
  <c r="B83" i="9"/>
  <c r="F79" i="9"/>
  <c r="F44" i="9"/>
  <c r="F59" i="16"/>
  <c r="F49" i="16"/>
  <c r="D44" i="16"/>
  <c r="D49" i="16" s="1"/>
  <c r="E44" i="16"/>
  <c r="E49" i="16" s="1"/>
  <c r="F44" i="16"/>
  <c r="B44" i="16"/>
  <c r="B49" i="16" s="1"/>
  <c r="B31" i="16"/>
  <c r="B39" i="8"/>
  <c r="B31" i="3"/>
  <c r="B75" i="6"/>
  <c r="B77" i="6" s="1"/>
  <c r="C75" i="6"/>
  <c r="C77" i="6" s="1"/>
  <c r="D75" i="6"/>
  <c r="E75" i="6"/>
  <c r="E77" i="6" s="1"/>
  <c r="D77" i="6"/>
  <c r="B78" i="6"/>
  <c r="C78" i="6"/>
  <c r="D78" i="6"/>
  <c r="E78" i="6"/>
  <c r="B79" i="6"/>
  <c r="C79" i="6"/>
  <c r="D79" i="6"/>
  <c r="E79" i="6"/>
  <c r="B82" i="6"/>
  <c r="C82" i="6"/>
  <c r="D82" i="6"/>
  <c r="E82" i="6"/>
  <c r="B83" i="6"/>
  <c r="C83" i="6"/>
  <c r="D83" i="6"/>
  <c r="E83" i="6"/>
  <c r="C108" i="6"/>
  <c r="D108" i="6"/>
  <c r="B115" i="6"/>
  <c r="C115" i="6"/>
  <c r="D115" i="6"/>
  <c r="K16" i="4"/>
  <c r="K15" i="4" s="1"/>
  <c r="B9" i="9" s="1"/>
  <c r="L16" i="4"/>
  <c r="M16" i="4"/>
  <c r="N16" i="4"/>
  <c r="O16" i="4"/>
  <c r="K18" i="4"/>
  <c r="L18" i="4"/>
  <c r="M18" i="4"/>
  <c r="N18" i="4"/>
  <c r="O18" i="4"/>
  <c r="K29" i="4"/>
  <c r="L29" i="4"/>
  <c r="M29" i="4"/>
  <c r="N29" i="4"/>
  <c r="O29" i="4"/>
  <c r="L16" i="3"/>
  <c r="M16" i="3"/>
  <c r="N16" i="3"/>
  <c r="O16" i="3"/>
  <c r="L18" i="3"/>
  <c r="M18" i="3"/>
  <c r="N18" i="3"/>
  <c r="O18" i="3"/>
  <c r="L29" i="3"/>
  <c r="M29" i="3"/>
  <c r="N29" i="3"/>
  <c r="O29" i="3"/>
  <c r="D121" i="6"/>
  <c r="B121" i="6"/>
  <c r="C33" i="3"/>
  <c r="B45" i="6"/>
  <c r="B62" i="6" s="1"/>
  <c r="F31" i="3"/>
  <c r="K45" i="6"/>
  <c r="C121" i="6"/>
  <c r="C61" i="6"/>
  <c r="B61" i="6"/>
  <c r="J55" i="6"/>
  <c r="J56" i="6" s="1"/>
  <c r="J53" i="6"/>
  <c r="J52" i="6" s="1"/>
  <c r="A53" i="6"/>
  <c r="A52" i="6" s="1"/>
  <c r="A55" i="6"/>
  <c r="A56" i="6" s="1"/>
  <c r="N51" i="6"/>
  <c r="O51" i="6" s="1"/>
  <c r="L51" i="6"/>
  <c r="K51" i="6" s="1"/>
  <c r="K38" i="6"/>
  <c r="B38" i="6"/>
  <c r="K19" i="6"/>
  <c r="K17" i="6"/>
  <c r="K14" i="6" s="1"/>
  <c r="K18" i="6" s="1"/>
  <c r="B15" i="6"/>
  <c r="F34" i="4"/>
  <c r="E34" i="4"/>
  <c r="D34" i="4"/>
  <c r="C34" i="4"/>
  <c r="B34" i="4"/>
  <c r="C34" i="3"/>
  <c r="D34" i="3"/>
  <c r="E34" i="3"/>
  <c r="F34" i="3"/>
  <c r="B34" i="3"/>
  <c r="F8" i="3"/>
  <c r="E25" i="4"/>
  <c r="E33" i="4" s="1"/>
  <c r="F25" i="4"/>
  <c r="E26" i="4"/>
  <c r="E35" i="4" s="1"/>
  <c r="D26" i="4"/>
  <c r="D35" i="4" s="1"/>
  <c r="F26" i="4"/>
  <c r="F35" i="4" s="1"/>
  <c r="F30" i="4"/>
  <c r="E30" i="4"/>
  <c r="F8" i="4"/>
  <c r="F9" i="4"/>
  <c r="F12" i="4"/>
  <c r="F14" i="4"/>
  <c r="B108" i="6"/>
  <c r="F33" i="4"/>
  <c r="B8" i="4"/>
  <c r="D25" i="4"/>
  <c r="D33" i="4" s="1"/>
  <c r="D30" i="4"/>
  <c r="C25" i="4"/>
  <c r="C33" i="4" s="1"/>
  <c r="B29" i="4"/>
  <c r="C29" i="4"/>
  <c r="C30" i="4"/>
  <c r="C26" i="4"/>
  <c r="C35" i="4" s="1"/>
  <c r="B30" i="4"/>
  <c r="B26" i="4"/>
  <c r="C27" i="4" s="1"/>
  <c r="C28" i="4" s="1"/>
  <c r="B25" i="4"/>
  <c r="B33" i="4" s="1"/>
  <c r="C31" i="3"/>
  <c r="D31" i="3"/>
  <c r="E31" i="3"/>
  <c r="B20" i="3"/>
  <c r="E20" i="4"/>
  <c r="D20" i="4"/>
  <c r="C20" i="4"/>
  <c r="B20" i="4"/>
  <c r="E14" i="4"/>
  <c r="D14" i="4"/>
  <c r="C14" i="4"/>
  <c r="B14" i="4"/>
  <c r="E12" i="4"/>
  <c r="D12" i="4"/>
  <c r="C12" i="4"/>
  <c r="B12" i="4"/>
  <c r="E9" i="4"/>
  <c r="E10" i="4" s="1"/>
  <c r="D9" i="4"/>
  <c r="D10" i="4" s="1"/>
  <c r="C9" i="4"/>
  <c r="C10" i="4" s="1"/>
  <c r="B9" i="4"/>
  <c r="B10" i="4" s="1"/>
  <c r="E8" i="4"/>
  <c r="D8" i="4"/>
  <c r="C8" i="4"/>
  <c r="B103" i="10" l="1"/>
  <c r="B104" i="10" s="1"/>
  <c r="C103" i="10"/>
  <c r="C104" i="10" s="1"/>
  <c r="D104" i="10"/>
  <c r="E104" i="10"/>
  <c r="H27" i="8"/>
  <c r="K17" i="3"/>
  <c r="K20" i="3" s="1"/>
  <c r="K32" i="3" s="1"/>
  <c r="K19" i="3"/>
  <c r="K23" i="3"/>
  <c r="K24" i="3" s="1"/>
  <c r="K25" i="3" s="1"/>
  <c r="B8" i="9"/>
  <c r="D31" i="16"/>
  <c r="F29" i="16"/>
  <c r="F31" i="16" s="1"/>
  <c r="E31" i="16"/>
  <c r="E59" i="16"/>
  <c r="E79" i="9" s="1"/>
  <c r="E44" i="9"/>
  <c r="D59" i="16"/>
  <c r="D79" i="9" s="1"/>
  <c r="D44" i="9"/>
  <c r="B50" i="16"/>
  <c r="B44" i="9"/>
  <c r="B59" i="16"/>
  <c r="B79" i="9" s="1"/>
  <c r="F50" i="16"/>
  <c r="B23" i="10" s="1"/>
  <c r="E50" i="16"/>
  <c r="C50" i="16"/>
  <c r="D50" i="16"/>
  <c r="C79" i="9"/>
  <c r="C44" i="9"/>
  <c r="O25" i="4"/>
  <c r="O24" i="4"/>
  <c r="N24" i="4"/>
  <c r="N25" i="4" s="1"/>
  <c r="M25" i="4"/>
  <c r="M24" i="4"/>
  <c r="L24" i="4"/>
  <c r="L25" i="4" s="1"/>
  <c r="B20" i="16"/>
  <c r="B13" i="8"/>
  <c r="B6" i="16"/>
  <c r="B17" i="16"/>
  <c r="B32" i="16"/>
  <c r="B33" i="16" s="1"/>
  <c r="B34" i="16" s="1"/>
  <c r="B46" i="8"/>
  <c r="B122" i="6"/>
  <c r="E80" i="6"/>
  <c r="E81" i="6" s="1"/>
  <c r="E86" i="6" s="1"/>
  <c r="D80" i="6"/>
  <c r="D81" i="6" s="1"/>
  <c r="L15" i="3"/>
  <c r="L28" i="3" s="1"/>
  <c r="K17" i="4"/>
  <c r="B16" i="9" s="1"/>
  <c r="B105" i="6"/>
  <c r="K19" i="4"/>
  <c r="C105" i="6"/>
  <c r="L15" i="4"/>
  <c r="L17" i="4" s="1"/>
  <c r="C16" i="9" s="1"/>
  <c r="D105" i="6"/>
  <c r="K28" i="4"/>
  <c r="C31" i="4"/>
  <c r="C32" i="4" s="1"/>
  <c r="C80" i="6"/>
  <c r="C81" i="6" s="1"/>
  <c r="B80" i="6"/>
  <c r="B81" i="6" s="1"/>
  <c r="B63" i="8"/>
  <c r="D122" i="6"/>
  <c r="B35" i="4"/>
  <c r="C62" i="6"/>
  <c r="C63" i="6" s="1"/>
  <c r="D27" i="4"/>
  <c r="D28" i="4" s="1"/>
  <c r="D31" i="4" s="1"/>
  <c r="D32" i="4" s="1"/>
  <c r="K30" i="4"/>
  <c r="C122" i="6"/>
  <c r="B63" i="6"/>
  <c r="K20" i="6"/>
  <c r="F10" i="4"/>
  <c r="F27" i="4"/>
  <c r="F21" i="4"/>
  <c r="B21" i="4"/>
  <c r="B27" i="4"/>
  <c r="B28" i="4" s="1"/>
  <c r="E27" i="4"/>
  <c r="E28" i="4" s="1"/>
  <c r="E31" i="4" s="1"/>
  <c r="E32" i="4" s="1"/>
  <c r="C21" i="4"/>
  <c r="D21" i="4"/>
  <c r="E21" i="4"/>
  <c r="F26" i="3"/>
  <c r="E26" i="3"/>
  <c r="E35" i="3" s="1"/>
  <c r="D26" i="3"/>
  <c r="D35" i="3" s="1"/>
  <c r="C26" i="3"/>
  <c r="C35" i="3" s="1"/>
  <c r="B26" i="3"/>
  <c r="C9" i="3"/>
  <c r="D9" i="3"/>
  <c r="E9" i="3"/>
  <c r="F9" i="3"/>
  <c r="B9" i="3"/>
  <c r="B21" i="3" s="1"/>
  <c r="B8" i="3"/>
  <c r="D33" i="3"/>
  <c r="E33" i="3"/>
  <c r="F33" i="3"/>
  <c r="B33" i="3"/>
  <c r="C20" i="3"/>
  <c r="D20" i="3"/>
  <c r="E20" i="3"/>
  <c r="F14" i="3"/>
  <c r="C14" i="3"/>
  <c r="D14" i="3"/>
  <c r="E14" i="3"/>
  <c r="B14" i="3"/>
  <c r="C12" i="3"/>
  <c r="D12" i="3"/>
  <c r="E12" i="3"/>
  <c r="F12" i="3"/>
  <c r="E8" i="3"/>
  <c r="D8" i="3"/>
  <c r="C8" i="3"/>
  <c r="B12" i="3"/>
  <c r="K21" i="3" l="1"/>
  <c r="B79" i="10"/>
  <c r="F24" i="8"/>
  <c r="C24" i="8"/>
  <c r="B24" i="8"/>
  <c r="B35" i="16"/>
  <c r="B36" i="16"/>
  <c r="E24" i="8"/>
  <c r="G24" i="8"/>
  <c r="D24" i="8"/>
  <c r="B9" i="16"/>
  <c r="B10" i="16" s="1"/>
  <c r="D87" i="6"/>
  <c r="D86" i="6"/>
  <c r="C112" i="6"/>
  <c r="B22" i="9"/>
  <c r="B40" i="9" s="1"/>
  <c r="D112" i="6"/>
  <c r="B31" i="4"/>
  <c r="B32" i="4" s="1"/>
  <c r="C9" i="9"/>
  <c r="C6" i="16"/>
  <c r="C32" i="16"/>
  <c r="C33" i="16" s="1"/>
  <c r="C8" i="9"/>
  <c r="C55" i="9"/>
  <c r="B15" i="9"/>
  <c r="B59" i="9"/>
  <c r="B67" i="9" s="1"/>
  <c r="B65" i="8"/>
  <c r="B81" i="10" s="1"/>
  <c r="B37" i="16"/>
  <c r="B38" i="16" s="1"/>
  <c r="B22" i="16" s="1"/>
  <c r="B23" i="16" s="1"/>
  <c r="B75" i="9"/>
  <c r="B85" i="9" s="1"/>
  <c r="B70" i="10" s="1"/>
  <c r="L30" i="3"/>
  <c r="L19" i="3"/>
  <c r="L17" i="3"/>
  <c r="M15" i="3"/>
  <c r="L19" i="4"/>
  <c r="L29" i="6" s="1"/>
  <c r="M15" i="4"/>
  <c r="L28" i="4"/>
  <c r="L30" i="6" s="1"/>
  <c r="K31" i="4"/>
  <c r="L30" i="4"/>
  <c r="L31" i="4" s="1"/>
  <c r="L31" i="6" s="1"/>
  <c r="K20" i="4"/>
  <c r="B112" i="6"/>
  <c r="E87" i="6"/>
  <c r="B87" i="6"/>
  <c r="B86" i="6"/>
  <c r="C86" i="6"/>
  <c r="C87" i="6"/>
  <c r="F35" i="3"/>
  <c r="K30" i="6"/>
  <c r="B10" i="3"/>
  <c r="B29" i="6"/>
  <c r="B27" i="3"/>
  <c r="B35" i="3"/>
  <c r="O33" i="6"/>
  <c r="K41" i="6" s="1"/>
  <c r="N33" i="6"/>
  <c r="L33" i="6"/>
  <c r="K39" i="6"/>
  <c r="K33" i="6"/>
  <c r="M33" i="6"/>
  <c r="F28" i="4"/>
  <c r="F31" i="4" s="1"/>
  <c r="F10" i="3"/>
  <c r="D27" i="3"/>
  <c r="D32" i="3" s="1"/>
  <c r="C27" i="3"/>
  <c r="C30" i="6"/>
  <c r="C32" i="3"/>
  <c r="F27" i="3"/>
  <c r="E27" i="3"/>
  <c r="E32" i="3" s="1"/>
  <c r="B32" i="3"/>
  <c r="C21" i="3"/>
  <c r="C10" i="3"/>
  <c r="F21" i="3"/>
  <c r="E21" i="3"/>
  <c r="E10" i="3"/>
  <c r="D21" i="3"/>
  <c r="D10" i="3"/>
  <c r="B26" i="6" l="1"/>
  <c r="B27" i="6" s="1"/>
  <c r="B28" i="6" s="1"/>
  <c r="B12" i="16"/>
  <c r="B10" i="9" s="1"/>
  <c r="B11" i="9" s="1"/>
  <c r="B12" i="9" s="1"/>
  <c r="D32" i="16"/>
  <c r="D33" i="16" s="1"/>
  <c r="D9" i="9"/>
  <c r="D6" i="16"/>
  <c r="C9" i="16"/>
  <c r="C12" i="16" s="1"/>
  <c r="L20" i="4"/>
  <c r="L21" i="4" s="1"/>
  <c r="B56" i="9"/>
  <c r="B57" i="9" s="1"/>
  <c r="B24" i="16"/>
  <c r="B26" i="16"/>
  <c r="B58" i="16" s="1"/>
  <c r="C41" i="9"/>
  <c r="C36" i="16"/>
  <c r="C35" i="16"/>
  <c r="C34" i="16"/>
  <c r="D8" i="9"/>
  <c r="D55" i="9"/>
  <c r="L20" i="3"/>
  <c r="C59" i="9"/>
  <c r="C67" i="9" s="1"/>
  <c r="C15" i="9"/>
  <c r="C29" i="6"/>
  <c r="C22" i="9"/>
  <c r="C40" i="9" s="1"/>
  <c r="B13" i="16"/>
  <c r="B14" i="16"/>
  <c r="K31" i="6"/>
  <c r="M19" i="3"/>
  <c r="D22" i="9" s="1"/>
  <c r="D40" i="9" s="1"/>
  <c r="M17" i="3"/>
  <c r="N15" i="3"/>
  <c r="M28" i="3"/>
  <c r="M30" i="3"/>
  <c r="M31" i="3" s="1"/>
  <c r="L32" i="4"/>
  <c r="L33" i="4" s="1"/>
  <c r="L34" i="4" s="1"/>
  <c r="M17" i="4"/>
  <c r="D16" i="9" s="1"/>
  <c r="M19" i="4"/>
  <c r="M20" i="4" s="1"/>
  <c r="M28" i="4"/>
  <c r="M30" i="6" s="1"/>
  <c r="M30" i="4"/>
  <c r="M31" i="4" s="1"/>
  <c r="M31" i="6" s="1"/>
  <c r="N15" i="4"/>
  <c r="K21" i="4"/>
  <c r="K32" i="4"/>
  <c r="B93" i="6"/>
  <c r="B98" i="6"/>
  <c r="B95" i="6"/>
  <c r="B96" i="6"/>
  <c r="B94" i="6"/>
  <c r="B97" i="6"/>
  <c r="C93" i="6"/>
  <c r="C98" i="6"/>
  <c r="C95" i="6"/>
  <c r="C96" i="6"/>
  <c r="C97" i="6"/>
  <c r="C94" i="6"/>
  <c r="K29" i="6"/>
  <c r="K26" i="6"/>
  <c r="F32" i="4"/>
  <c r="F32" i="3"/>
  <c r="L21" i="3" l="1"/>
  <c r="L23" i="3"/>
  <c r="L32" i="3"/>
  <c r="L24" i="3"/>
  <c r="B18" i="9"/>
  <c r="B78" i="9"/>
  <c r="D9" i="16"/>
  <c r="B77" i="9"/>
  <c r="B17" i="9"/>
  <c r="B60" i="16"/>
  <c r="K33" i="4"/>
  <c r="K34" i="4" s="1"/>
  <c r="E9" i="9"/>
  <c r="E32" i="16"/>
  <c r="E33" i="16" s="1"/>
  <c r="E6" i="16"/>
  <c r="E7" i="16"/>
  <c r="C37" i="16"/>
  <c r="C38" i="16" s="1"/>
  <c r="C22" i="16" s="1"/>
  <c r="C23" i="16" s="1"/>
  <c r="C10" i="16"/>
  <c r="D36" i="16"/>
  <c r="D35" i="16"/>
  <c r="D34" i="16"/>
  <c r="D29" i="6"/>
  <c r="C26" i="6"/>
  <c r="C27" i="6" s="1"/>
  <c r="C28" i="6" s="1"/>
  <c r="D30" i="6"/>
  <c r="D41" i="9"/>
  <c r="D31" i="6"/>
  <c r="D42" i="9"/>
  <c r="E55" i="9"/>
  <c r="E8" i="9"/>
  <c r="M20" i="3"/>
  <c r="M23" i="3" s="1"/>
  <c r="D59" i="9"/>
  <c r="D67" i="9" s="1"/>
  <c r="D15" i="9"/>
  <c r="N19" i="3"/>
  <c r="N30" i="3"/>
  <c r="N31" i="3" s="1"/>
  <c r="E31" i="6" s="1"/>
  <c r="N28" i="3"/>
  <c r="N17" i="3"/>
  <c r="O15" i="3"/>
  <c r="M21" i="4"/>
  <c r="M32" i="4"/>
  <c r="M33" i="4" s="1"/>
  <c r="M34" i="4" s="1"/>
  <c r="M29" i="6"/>
  <c r="N19" i="4"/>
  <c r="N29" i="6" s="1"/>
  <c r="O15" i="4"/>
  <c r="N28" i="4"/>
  <c r="N30" i="6" s="1"/>
  <c r="N30" i="4"/>
  <c r="N31" i="4" s="1"/>
  <c r="N31" i="6" s="1"/>
  <c r="N17" i="4"/>
  <c r="B113" i="6"/>
  <c r="B114" i="6" s="1"/>
  <c r="B116" i="6" s="1"/>
  <c r="C113" i="6"/>
  <c r="C114" i="6" s="1"/>
  <c r="C116" i="6" s="1"/>
  <c r="D113" i="6"/>
  <c r="D114" i="6" s="1"/>
  <c r="D116" i="6" s="1"/>
  <c r="C106" i="6"/>
  <c r="C107" i="6" s="1"/>
  <c r="B106" i="6"/>
  <c r="B107" i="6" s="1"/>
  <c r="D106" i="6"/>
  <c r="D107" i="6" s="1"/>
  <c r="M26" i="6"/>
  <c r="L26" i="6"/>
  <c r="L27" i="6" s="1"/>
  <c r="L28" i="6" s="1"/>
  <c r="L32" i="6" s="1"/>
  <c r="L34" i="6" s="1"/>
  <c r="K27" i="6"/>
  <c r="K28" i="6" s="1"/>
  <c r="K32" i="6" s="1"/>
  <c r="K34" i="6" s="1"/>
  <c r="L25" i="3" l="1"/>
  <c r="C75" i="9" s="1"/>
  <c r="C85" i="9" s="1"/>
  <c r="C70" i="10" s="1"/>
  <c r="M24" i="3"/>
  <c r="M25" i="3" s="1"/>
  <c r="D75" i="9" s="1"/>
  <c r="D70" i="10" s="1"/>
  <c r="M32" i="3"/>
  <c r="M33" i="3" s="1"/>
  <c r="M34" i="3" s="1"/>
  <c r="D26" i="6"/>
  <c r="D27" i="6" s="1"/>
  <c r="D28" i="6" s="1"/>
  <c r="D32" i="6" s="1"/>
  <c r="D63" i="9" s="1"/>
  <c r="M21" i="3"/>
  <c r="B19" i="9"/>
  <c r="B23" i="9" s="1"/>
  <c r="D37" i="16"/>
  <c r="D38" i="16" s="1"/>
  <c r="D22" i="16" s="1"/>
  <c r="D23" i="16" s="1"/>
  <c r="D24" i="16" s="1"/>
  <c r="E36" i="16"/>
  <c r="E35" i="16"/>
  <c r="E34" i="16"/>
  <c r="E37" i="16" s="1"/>
  <c r="E38" i="16" s="1"/>
  <c r="E22" i="16" s="1"/>
  <c r="E23" i="16" s="1"/>
  <c r="N20" i="4"/>
  <c r="N21" i="4" s="1"/>
  <c r="E16" i="9"/>
  <c r="C24" i="16"/>
  <c r="C26" i="16"/>
  <c r="E22" i="9"/>
  <c r="E40" i="9" s="1"/>
  <c r="D12" i="16"/>
  <c r="D10" i="16"/>
  <c r="C10" i="9"/>
  <c r="C11" i="9" s="1"/>
  <c r="C14" i="16"/>
  <c r="C13" i="16"/>
  <c r="E41" i="9"/>
  <c r="F9" i="9"/>
  <c r="F32" i="16"/>
  <c r="F33" i="16" s="1"/>
  <c r="F8" i="16"/>
  <c r="F6" i="16"/>
  <c r="E42" i="9"/>
  <c r="E9" i="16"/>
  <c r="E30" i="6"/>
  <c r="F8" i="9"/>
  <c r="F55" i="9"/>
  <c r="N20" i="3"/>
  <c r="N32" i="3" s="1"/>
  <c r="N33" i="3" s="1"/>
  <c r="N34" i="3" s="1"/>
  <c r="E59" i="9"/>
  <c r="E67" i="9" s="1"/>
  <c r="E15" i="9"/>
  <c r="E29" i="6"/>
  <c r="O17" i="3"/>
  <c r="O30" i="3"/>
  <c r="O31" i="3" s="1"/>
  <c r="F31" i="6" s="1"/>
  <c r="O28" i="3"/>
  <c r="O19" i="3"/>
  <c r="O17" i="4"/>
  <c r="F16" i="9" s="1"/>
  <c r="O30" i="4"/>
  <c r="O31" i="4" s="1"/>
  <c r="O31" i="6" s="1"/>
  <c r="O28" i="4"/>
  <c r="O19" i="4"/>
  <c r="O29" i="6" s="1"/>
  <c r="D123" i="6"/>
  <c r="D109" i="6"/>
  <c r="D124" i="6" s="1"/>
  <c r="D125" i="6" s="1"/>
  <c r="B123" i="6"/>
  <c r="B109" i="6"/>
  <c r="B124" i="6" s="1"/>
  <c r="B125" i="6" s="1"/>
  <c r="C123" i="6"/>
  <c r="C109" i="6"/>
  <c r="C124" i="6" s="1"/>
  <c r="C125" i="6" s="1"/>
  <c r="M27" i="6"/>
  <c r="M28" i="6" s="1"/>
  <c r="M32" i="6" s="1"/>
  <c r="M34" i="6" s="1"/>
  <c r="O30" i="6"/>
  <c r="N21" i="3" l="1"/>
  <c r="E26" i="6"/>
  <c r="E27" i="6" s="1"/>
  <c r="E28" i="6" s="1"/>
  <c r="E32" i="6" s="1"/>
  <c r="E63" i="9" s="1"/>
  <c r="N23" i="3"/>
  <c r="B60" i="9"/>
  <c r="B61" i="9" s="1"/>
  <c r="D26" i="16"/>
  <c r="F42" i="9"/>
  <c r="F9" i="16"/>
  <c r="F12" i="16" s="1"/>
  <c r="F22" i="9"/>
  <c r="F40" i="9" s="1"/>
  <c r="F10" i="16"/>
  <c r="E10" i="16"/>
  <c r="E12" i="16"/>
  <c r="F36" i="16"/>
  <c r="F35" i="16"/>
  <c r="F34" i="16"/>
  <c r="B37" i="9"/>
  <c r="B38" i="9" s="1"/>
  <c r="B39" i="9" s="1"/>
  <c r="B27" i="9"/>
  <c r="B24" i="9"/>
  <c r="C77" i="9"/>
  <c r="C17" i="9"/>
  <c r="C56" i="9"/>
  <c r="C57" i="9" s="1"/>
  <c r="C12" i="9"/>
  <c r="E24" i="16"/>
  <c r="E26" i="16"/>
  <c r="D10" i="9"/>
  <c r="D11" i="9" s="1"/>
  <c r="D14" i="16"/>
  <c r="D13" i="16"/>
  <c r="B60" i="8"/>
  <c r="B10" i="8"/>
  <c r="N32" i="4"/>
  <c r="N33" i="4" s="1"/>
  <c r="N34" i="4" s="1"/>
  <c r="C58" i="16"/>
  <c r="C60" i="16" s="1"/>
  <c r="C18" i="9"/>
  <c r="C78" i="9"/>
  <c r="D78" i="9"/>
  <c r="F30" i="6"/>
  <c r="F41" i="9"/>
  <c r="F15" i="9"/>
  <c r="F59" i="9"/>
  <c r="F67" i="9" s="1"/>
  <c r="O20" i="3"/>
  <c r="F29" i="6"/>
  <c r="O20" i="4"/>
  <c r="N26" i="6"/>
  <c r="N27" i="6" s="1"/>
  <c r="N28" i="6" s="1"/>
  <c r="N32" i="6" s="1"/>
  <c r="N34" i="6" s="1"/>
  <c r="O21" i="3" l="1"/>
  <c r="O23" i="3"/>
  <c r="O24" i="3" s="1"/>
  <c r="O25" i="3" s="1"/>
  <c r="F75" i="9" s="1"/>
  <c r="F85" i="9" s="1"/>
  <c r="F70" i="10" s="1"/>
  <c r="N24" i="3"/>
  <c r="N25" i="3" s="1"/>
  <c r="E75" i="9" s="1"/>
  <c r="E85" i="9" s="1"/>
  <c r="E70" i="10" s="1"/>
  <c r="D58" i="16"/>
  <c r="D60" i="16" s="1"/>
  <c r="D18" i="9"/>
  <c r="F37" i="16"/>
  <c r="F38" i="16" s="1"/>
  <c r="F22" i="16" s="1"/>
  <c r="F23" i="16" s="1"/>
  <c r="F24" i="16" s="1"/>
  <c r="D12" i="9"/>
  <c r="D56" i="9"/>
  <c r="D57" i="9" s="1"/>
  <c r="C19" i="9"/>
  <c r="D77" i="9"/>
  <c r="D17" i="9"/>
  <c r="E78" i="9"/>
  <c r="E18" i="9"/>
  <c r="E10" i="9"/>
  <c r="E11" i="9" s="1"/>
  <c r="E14" i="16"/>
  <c r="E13" i="16"/>
  <c r="B12" i="8"/>
  <c r="G22" i="8"/>
  <c r="G23" i="8" s="1"/>
  <c r="F22" i="8"/>
  <c r="F23" i="8" s="1"/>
  <c r="E22" i="8"/>
  <c r="E23" i="8" s="1"/>
  <c r="D22" i="8"/>
  <c r="D23" i="8" s="1"/>
  <c r="C22" i="8"/>
  <c r="C23" i="8" s="1"/>
  <c r="B22" i="8"/>
  <c r="F10" i="9"/>
  <c r="F11" i="9" s="1"/>
  <c r="F14" i="16"/>
  <c r="B21" i="10" s="1"/>
  <c r="F13" i="16"/>
  <c r="O32" i="3"/>
  <c r="O33" i="3" s="1"/>
  <c r="O34" i="3" s="1"/>
  <c r="O21" i="4"/>
  <c r="O32" i="4"/>
  <c r="O33" i="4" s="1"/>
  <c r="O34" i="4" s="1"/>
  <c r="F26" i="6"/>
  <c r="O26" i="6"/>
  <c r="O27" i="6" s="1"/>
  <c r="O28" i="6" s="1"/>
  <c r="O32" i="6" s="1"/>
  <c r="B48" i="10" l="1"/>
  <c r="B61" i="8"/>
  <c r="B71" i="8"/>
  <c r="D19" i="9"/>
  <c r="D60" i="9" s="1"/>
  <c r="D61" i="9" s="1"/>
  <c r="F26" i="16"/>
  <c r="B22" i="10" s="1"/>
  <c r="F12" i="9"/>
  <c r="F56" i="9"/>
  <c r="F57" i="9" s="1"/>
  <c r="E17" i="9"/>
  <c r="E19" i="9" s="1"/>
  <c r="E77" i="9"/>
  <c r="E58" i="16"/>
  <c r="E60" i="16" s="1"/>
  <c r="E26" i="8"/>
  <c r="E25" i="8"/>
  <c r="F77" i="9"/>
  <c r="F17" i="9"/>
  <c r="B15" i="8"/>
  <c r="B80" i="8"/>
  <c r="B10" i="10" s="1"/>
  <c r="B14" i="8"/>
  <c r="F18" i="9"/>
  <c r="F78" i="9"/>
  <c r="B64" i="8"/>
  <c r="E56" i="9"/>
  <c r="E57" i="9" s="1"/>
  <c r="E12" i="9"/>
  <c r="C60" i="9"/>
  <c r="C61" i="9" s="1"/>
  <c r="C23" i="9"/>
  <c r="B26" i="8"/>
  <c r="B25" i="8"/>
  <c r="C25" i="8"/>
  <c r="C26" i="8"/>
  <c r="D26" i="8"/>
  <c r="D25" i="8"/>
  <c r="F25" i="8"/>
  <c r="F26" i="8"/>
  <c r="G26" i="8"/>
  <c r="G25" i="8"/>
  <c r="F27" i="6"/>
  <c r="F28" i="6" s="1"/>
  <c r="F32" i="6" s="1"/>
  <c r="O34" i="6"/>
  <c r="K43" i="6" s="1"/>
  <c r="K37" i="6"/>
  <c r="K40" i="6" s="1"/>
  <c r="K42" i="6" s="1"/>
  <c r="B80" i="10" l="1"/>
  <c r="B12" i="10"/>
  <c r="B50" i="10"/>
  <c r="D23" i="9"/>
  <c r="D27" i="9" s="1"/>
  <c r="F58" i="16"/>
  <c r="F60" i="16" s="1"/>
  <c r="F19" i="9"/>
  <c r="F23" i="9" s="1"/>
  <c r="D24" i="9"/>
  <c r="B27" i="8"/>
  <c r="B29" i="8"/>
  <c r="B28" i="8"/>
  <c r="B16" i="8"/>
  <c r="B62" i="8"/>
  <c r="E60" i="9"/>
  <c r="E61" i="9" s="1"/>
  <c r="E23" i="9"/>
  <c r="F28" i="8"/>
  <c r="F29" i="8"/>
  <c r="F27" i="8"/>
  <c r="D29" i="8"/>
  <c r="D27" i="8"/>
  <c r="D28" i="8"/>
  <c r="E29" i="8"/>
  <c r="E28" i="8"/>
  <c r="E27" i="8"/>
  <c r="C27" i="8"/>
  <c r="C29" i="8"/>
  <c r="C28" i="8"/>
  <c r="G27" i="8"/>
  <c r="G29" i="8"/>
  <c r="G28" i="8"/>
  <c r="C27" i="9"/>
  <c r="C24" i="9"/>
  <c r="C37" i="9"/>
  <c r="C38" i="9" s="1"/>
  <c r="C39" i="9" s="1"/>
  <c r="B37" i="6"/>
  <c r="F63" i="9"/>
  <c r="K44" i="6"/>
  <c r="K46" i="6" s="1"/>
  <c r="B39" i="6"/>
  <c r="F33" i="6"/>
  <c r="F34" i="6" s="1"/>
  <c r="E33" i="6"/>
  <c r="E34" i="6" s="1"/>
  <c r="B33" i="6"/>
  <c r="D33" i="6"/>
  <c r="D34" i="6" s="1"/>
  <c r="C51" i="6"/>
  <c r="B51" i="6" s="1"/>
  <c r="C33" i="6"/>
  <c r="B116" i="10" l="1"/>
  <c r="C116" i="10"/>
  <c r="B117" i="10"/>
  <c r="B36" i="8"/>
  <c r="B44" i="8" s="1"/>
  <c r="C52" i="8" s="1"/>
  <c r="F117" i="10"/>
  <c r="C117" i="10"/>
  <c r="F116" i="10"/>
  <c r="D116" i="10"/>
  <c r="E117" i="10"/>
  <c r="D117" i="10"/>
  <c r="E116" i="10"/>
  <c r="B51" i="10"/>
  <c r="B52" i="10"/>
  <c r="B43" i="8"/>
  <c r="C51" i="8" s="1"/>
  <c r="D37" i="9"/>
  <c r="D38" i="9" s="1"/>
  <c r="D39" i="9" s="1"/>
  <c r="D43" i="9" s="1"/>
  <c r="D46" i="9" s="1"/>
  <c r="F60" i="9"/>
  <c r="F61" i="9" s="1"/>
  <c r="B45" i="8"/>
  <c r="B59" i="10" s="1"/>
  <c r="F37" i="9"/>
  <c r="F38" i="9" s="1"/>
  <c r="F39" i="9" s="1"/>
  <c r="F43" i="9" s="1"/>
  <c r="F46" i="9" s="1"/>
  <c r="F64" i="9" s="1"/>
  <c r="F65" i="9" s="1"/>
  <c r="B28" i="10" s="1"/>
  <c r="F27" i="9"/>
  <c r="F24" i="9"/>
  <c r="E27" i="9"/>
  <c r="E24" i="9"/>
  <c r="E37" i="9"/>
  <c r="E38" i="9" s="1"/>
  <c r="E39" i="9" s="1"/>
  <c r="E43" i="9" s="1"/>
  <c r="E46" i="9" s="1"/>
  <c r="B40" i="6"/>
  <c r="B41" i="6"/>
  <c r="E51" i="6"/>
  <c r="F51" i="6" s="1"/>
  <c r="C53" i="8" l="1"/>
  <c r="B63" i="10" s="1"/>
  <c r="D106" i="10" s="1"/>
  <c r="E122" i="10"/>
  <c r="E119" i="10"/>
  <c r="E120" i="10" s="1"/>
  <c r="E123" i="10" s="1"/>
  <c r="D119" i="10"/>
  <c r="D120" i="10" s="1"/>
  <c r="D123" i="10" s="1"/>
  <c r="D122" i="10"/>
  <c r="B15" i="10"/>
  <c r="C122" i="10"/>
  <c r="C119" i="10"/>
  <c r="C120" i="10" s="1"/>
  <c r="C123" i="10" s="1"/>
  <c r="F119" i="10"/>
  <c r="F120" i="10" s="1"/>
  <c r="F123" i="10" s="1"/>
  <c r="F122" i="10"/>
  <c r="B119" i="10"/>
  <c r="B120" i="10" s="1"/>
  <c r="B123" i="10" s="1"/>
  <c r="B122" i="10"/>
  <c r="B38" i="8"/>
  <c r="B57" i="10"/>
  <c r="B47" i="8"/>
  <c r="B61" i="10" s="1"/>
  <c r="B16" i="10"/>
  <c r="B72" i="8"/>
  <c r="B73" i="8" s="1"/>
  <c r="B78" i="8" s="1"/>
  <c r="B64" i="10"/>
  <c r="B60" i="10"/>
  <c r="B58" i="10"/>
  <c r="F48" i="9"/>
  <c r="F47" i="9"/>
  <c r="E48" i="9"/>
  <c r="E64" i="9"/>
  <c r="E65" i="9" s="1"/>
  <c r="E47" i="9"/>
  <c r="D47" i="9"/>
  <c r="D48" i="9"/>
  <c r="D64" i="9"/>
  <c r="D65" i="9" s="1"/>
  <c r="B48" i="8"/>
  <c r="B66" i="8" s="1"/>
  <c r="B42" i="6"/>
  <c r="C55" i="8" l="1"/>
  <c r="B106" i="10"/>
  <c r="C106" i="10"/>
  <c r="E106" i="10"/>
  <c r="B67" i="8"/>
  <c r="B68" i="8" s="1"/>
  <c r="B84" i="10" s="1"/>
  <c r="D80" i="9"/>
  <c r="D81" i="9" s="1"/>
  <c r="D86" i="9" s="1"/>
  <c r="D88" i="9" s="1"/>
  <c r="B32" i="10"/>
  <c r="B79" i="8"/>
  <c r="B18" i="10"/>
  <c r="B62" i="10"/>
  <c r="E28" i="9"/>
  <c r="E29" i="9" s="1"/>
  <c r="E30" i="9" s="1"/>
  <c r="E31" i="9" s="1"/>
  <c r="E32" i="9" s="1"/>
  <c r="D28" i="9"/>
  <c r="D29" i="9" s="1"/>
  <c r="F80" i="9"/>
  <c r="F81" i="9" s="1"/>
  <c r="F86" i="9" s="1"/>
  <c r="F71" i="10" s="1"/>
  <c r="B80" i="9"/>
  <c r="B81" i="9" s="1"/>
  <c r="B86" i="9" s="1"/>
  <c r="B71" i="10" s="1"/>
  <c r="F28" i="9"/>
  <c r="F29" i="9" s="1"/>
  <c r="C28" i="9"/>
  <c r="C29" i="9" s="1"/>
  <c r="B28" i="9"/>
  <c r="B29" i="9" s="1"/>
  <c r="B30" i="9" s="1"/>
  <c r="B31" i="9" s="1"/>
  <c r="B32" i="9" s="1"/>
  <c r="E80" i="9"/>
  <c r="E81" i="9" s="1"/>
  <c r="E86" i="9" s="1"/>
  <c r="E71" i="10" s="1"/>
  <c r="C80" i="9"/>
  <c r="C81" i="9" s="1"/>
  <c r="C86" i="9" s="1"/>
  <c r="B45" i="9"/>
  <c r="B82" i="10" l="1"/>
  <c r="F68" i="9"/>
  <c r="F69" i="9" s="1"/>
  <c r="E68" i="9"/>
  <c r="E69" i="9" s="1"/>
  <c r="C68" i="9"/>
  <c r="C69" i="9" s="1"/>
  <c r="D68" i="9"/>
  <c r="D69" i="9" s="1"/>
  <c r="B68" i="9"/>
  <c r="B69" i="9" s="1"/>
  <c r="C88" i="9"/>
  <c r="C73" i="10" s="1"/>
  <c r="C71" i="10"/>
  <c r="D87" i="9"/>
  <c r="D72" i="10" s="1"/>
  <c r="D71" i="10"/>
  <c r="D30" i="9"/>
  <c r="D31" i="9" s="1"/>
  <c r="F87" i="9"/>
  <c r="F72" i="10" s="1"/>
  <c r="F88" i="9"/>
  <c r="C87" i="9"/>
  <c r="C72" i="10" s="1"/>
  <c r="E87" i="9"/>
  <c r="E72" i="10" s="1"/>
  <c r="E88" i="9"/>
  <c r="E73" i="10" s="1"/>
  <c r="C30" i="9"/>
  <c r="C31" i="9" s="1"/>
  <c r="C32" i="9" s="1"/>
  <c r="F30" i="9"/>
  <c r="F31" i="9" s="1"/>
  <c r="F32" i="9" s="1"/>
  <c r="B88" i="9"/>
  <c r="B73" i="10" s="1"/>
  <c r="B87" i="9"/>
  <c r="B72" i="10" s="1"/>
  <c r="D73" i="10"/>
  <c r="B83" i="10" l="1"/>
  <c r="B76" i="8"/>
  <c r="B77" i="8" s="1"/>
  <c r="B31" i="10" s="1"/>
  <c r="B27" i="10"/>
  <c r="F73" i="10"/>
  <c r="B69" i="8"/>
  <c r="B85" i="10" s="1"/>
  <c r="B29" i="10"/>
  <c r="D32" i="9"/>
  <c r="B81" i="8" l="1"/>
  <c r="B33" i="10" s="1"/>
  <c r="B30" i="10"/>
  <c r="K30" i="3"/>
  <c r="L31" i="3" s="1"/>
  <c r="K31" i="3"/>
  <c r="B42" i="9" s="1"/>
  <c r="C31" i="6" l="1"/>
  <c r="C32" i="6" s="1"/>
  <c r="C42" i="9"/>
  <c r="C43" i="9" s="1"/>
  <c r="C46" i="9" s="1"/>
  <c r="L33" i="3"/>
  <c r="L34" i="3" s="1"/>
  <c r="B31" i="6"/>
  <c r="C47" i="9" l="1"/>
  <c r="C64" i="9"/>
  <c r="C48" i="9"/>
  <c r="C63" i="9"/>
  <c r="C34" i="6"/>
  <c r="K29" i="3"/>
  <c r="K28" i="3" s="1"/>
  <c r="B41" i="9" l="1"/>
  <c r="B43" i="9" s="1"/>
  <c r="K33" i="3"/>
  <c r="K34" i="3" s="1"/>
  <c r="C65" i="9"/>
  <c r="B30" i="6"/>
  <c r="B32" i="6" s="1"/>
  <c r="B46" i="9" l="1"/>
  <c r="B48" i="9" s="1"/>
  <c r="F49" i="9" s="1"/>
  <c r="B63" i="9"/>
  <c r="B34" i="6"/>
  <c r="B43" i="6" s="1"/>
  <c r="B44" i="6" s="1"/>
  <c r="B46" i="6" s="1"/>
  <c r="B47" i="9" l="1"/>
  <c r="B64" i="9"/>
  <c r="B65" i="9" s="1"/>
  <c r="B78" i="10" s="1"/>
  <c r="B49" i="9"/>
  <c r="C49" i="9"/>
  <c r="D49" i="9"/>
  <c r="E49" i="9"/>
</calcChain>
</file>

<file path=xl/sharedStrings.xml><?xml version="1.0" encoding="utf-8"?>
<sst xmlns="http://schemas.openxmlformats.org/spreadsheetml/2006/main" count="757" uniqueCount="430">
  <si>
    <t>Company</t>
  </si>
  <si>
    <t>B&amp;M</t>
  </si>
  <si>
    <t>Notes</t>
  </si>
  <si>
    <t>Poundland</t>
  </si>
  <si>
    <t>FY21</t>
  </si>
  <si>
    <t>FY22</t>
  </si>
  <si>
    <t>FY23</t>
  </si>
  <si>
    <t>FY24</t>
  </si>
  <si>
    <t>FY25</t>
  </si>
  <si>
    <t>FY End Date</t>
  </si>
  <si>
    <t>Income Statement</t>
  </si>
  <si>
    <t>Revenue</t>
  </si>
  <si>
    <t>Revenue Growth</t>
  </si>
  <si>
    <t>EBITDA</t>
  </si>
  <si>
    <t>EBITDA Margin</t>
  </si>
  <si>
    <t>EBIT</t>
  </si>
  <si>
    <t>EBIT Margin</t>
  </si>
  <si>
    <t>Net Income Margin</t>
  </si>
  <si>
    <t>Financial Year</t>
  </si>
  <si>
    <t>Balance Sheet</t>
  </si>
  <si>
    <t>Cash</t>
  </si>
  <si>
    <t>Net Debt</t>
  </si>
  <si>
    <t>Net Debt / EBITDA</t>
  </si>
  <si>
    <t>Cash Flow</t>
  </si>
  <si>
    <t>FCF Margin</t>
  </si>
  <si>
    <t>Capex / Revenue</t>
  </si>
  <si>
    <t>Revenue (£m)</t>
  </si>
  <si>
    <t>EBIT (Operating Profit) (£m)</t>
  </si>
  <si>
    <t>Net Income / Profit After Tax (£m)</t>
  </si>
  <si>
    <t>Total Debt / Borrowings (£m)</t>
  </si>
  <si>
    <t>Depreciation &amp; Amortisation (£m)</t>
  </si>
  <si>
    <t>Capital Expenditure (£m)</t>
  </si>
  <si>
    <t>Change in Net Working Capital (£m)</t>
  </si>
  <si>
    <t>Cash Flow from Operations (£m)</t>
  </si>
  <si>
    <t>Interest Paid (£m)</t>
  </si>
  <si>
    <t>Free Cash Flow (£m)</t>
  </si>
  <si>
    <t>EBITDA (£m)</t>
  </si>
  <si>
    <t>Cash and Cash Eq. (£m)</t>
  </si>
  <si>
    <t>Net Working Capital</t>
  </si>
  <si>
    <t>Lease Liabilities (£m)</t>
  </si>
  <si>
    <t>Cash Tax Paid (£m)</t>
  </si>
  <si>
    <t>FY26E</t>
  </si>
  <si>
    <t>FY27E</t>
  </si>
  <si>
    <t>FY28E</t>
  </si>
  <si>
    <t>FY29E</t>
  </si>
  <si>
    <t>FY30E</t>
  </si>
  <si>
    <t>Operating Assumptions</t>
  </si>
  <si>
    <t>D&amp;A / Revenue</t>
  </si>
  <si>
    <t>Tax Rate</t>
  </si>
  <si>
    <t>NWC / Revenue</t>
  </si>
  <si>
    <t>Forecast Notes</t>
  </si>
  <si>
    <t>Purpose</t>
  </si>
  <si>
    <t>D&amp;A</t>
  </si>
  <si>
    <t>Capex</t>
  </si>
  <si>
    <t>Tax</t>
  </si>
  <si>
    <t>Revenue growth</t>
  </si>
  <si>
    <t>Assumption Notes</t>
  </si>
  <si>
    <t>Slow gradual increase due to expansion to new stores</t>
  </si>
  <si>
    <t>Use UK corporation tax rate of 25%</t>
  </si>
  <si>
    <t>Simple avg FY22-25 is 6.1%, FY23-25 5.6% so use stable 6%</t>
  </si>
  <si>
    <t>Currently restructuring, then begin recovery until industies expected</t>
  </si>
  <si>
    <t>Slow recovery after restructuring but firm operates differently so 10-12% may no longer be possible</t>
  </si>
  <si>
    <t>DCF Assumptions</t>
  </si>
  <si>
    <t>DCF Valuation</t>
  </si>
  <si>
    <t>Risk-Free Rate</t>
  </si>
  <si>
    <t>Equity Risk Premium</t>
  </si>
  <si>
    <t>B&amp;M WACC</t>
  </si>
  <si>
    <t>Poundland WACC</t>
  </si>
  <si>
    <t>Terminal Growth Rate</t>
  </si>
  <si>
    <t>Valuation Date</t>
  </si>
  <si>
    <t>Forecast assumption</t>
  </si>
  <si>
    <t>Beta</t>
  </si>
  <si>
    <t>Pre-Tax Cost of Debt</t>
  </si>
  <si>
    <t>Debt / Total Capital</t>
  </si>
  <si>
    <t>Equity / Total Capital</t>
  </si>
  <si>
    <t>Calculation</t>
  </si>
  <si>
    <t>Cost of Equity</t>
  </si>
  <si>
    <t>Formula</t>
  </si>
  <si>
    <t>After-Tax Cost of Debt</t>
  </si>
  <si>
    <t>WACC</t>
  </si>
  <si>
    <t>Unlevered Beta</t>
  </si>
  <si>
    <t>Re-Levered Beta</t>
  </si>
  <si>
    <t>Assumption</t>
  </si>
  <si>
    <t>NOPAT</t>
  </si>
  <si>
    <t>Discount Factor</t>
  </si>
  <si>
    <t>Unlevered Free Cash Flow</t>
  </si>
  <si>
    <t>Present Value of Unlevered FCF</t>
  </si>
  <si>
    <t>Change in Net Working Capital (Less)</t>
  </si>
  <si>
    <t>B&amp;M DCF</t>
  </si>
  <si>
    <t>Source / Assumption</t>
  </si>
  <si>
    <t>Tax on EBIT (Less)</t>
  </si>
  <si>
    <t>Poundland DCF</t>
  </si>
  <si>
    <t>FY30E Discount Factor</t>
  </si>
  <si>
    <t>Present Value of Terminal Value</t>
  </si>
  <si>
    <t>Enterprise Value</t>
  </si>
  <si>
    <t>Equity Value</t>
  </si>
  <si>
    <t>Net Debt (Less)</t>
  </si>
  <si>
    <t>Standalone Valuation Summary</t>
  </si>
  <si>
    <t>Base</t>
  </si>
  <si>
    <t>B&amp;M Terminal Value and Valuation</t>
  </si>
  <si>
    <t>Value</t>
  </si>
  <si>
    <t>Present Value of Explicit Forecast FCF</t>
  </si>
  <si>
    <t>Poundland Terminal Value and Valuation</t>
  </si>
  <si>
    <t>Terminal Growth Rate \ WACC</t>
  </si>
  <si>
    <t>Transaction Analysis Date</t>
  </si>
  <si>
    <t>UK 10-year gilt yield at close</t>
  </si>
  <si>
    <t>Damodaran UK Equity Risk Premium, July 2026</t>
  </si>
  <si>
    <t>Long-term conservative nominal growth assumption</t>
  </si>
  <si>
    <t>B&amp;M European Value Retail beta</t>
  </si>
  <si>
    <t>Average FY22-25 implied pre-tax cost of debt calculated as interst paid / total debt/borrowings</t>
  </si>
  <si>
    <t>Calculation using market equity value on 21/08/2026 and FY25 total debt/borrowings</t>
  </si>
  <si>
    <t>The stated interest rate on Poundland's secured loan following the 2025 restructuring</t>
  </si>
  <si>
    <t>Damodaran's Jan 2026 global data for retail (special lines)</t>
  </si>
  <si>
    <t>Assume conservative 20% benchmarked against calculations with Damdaran's D/E to get 15.5% D/C</t>
  </si>
  <si>
    <t>Depreciation &amp; Amortisation (£m) (Add)</t>
  </si>
  <si>
    <t>Capital Expenditure (£m) (Less)</t>
  </si>
  <si>
    <t>Terminal Value (£m)</t>
  </si>
  <si>
    <t>FY30E Unlevered FCF (£m)</t>
  </si>
  <si>
    <t>Pepco</t>
  </si>
  <si>
    <t>Dollar General</t>
  </si>
  <si>
    <t>Dollar Tree</t>
  </si>
  <si>
    <t>Share Price</t>
  </si>
  <si>
    <t>Total Debt</t>
  </si>
  <si>
    <t>EV / Revenue</t>
  </si>
  <si>
    <t>EV / EBITDA</t>
  </si>
  <si>
    <t>Statistic</t>
  </si>
  <si>
    <t>Minimum</t>
  </si>
  <si>
    <t>25th Percentile</t>
  </si>
  <si>
    <t>Median</t>
  </si>
  <si>
    <t>Mean</t>
  </si>
  <si>
    <t>75th Percentile</t>
  </si>
  <si>
    <t>Maximum</t>
  </si>
  <si>
    <t>Trading Multiples</t>
  </si>
  <si>
    <t>Peer Multiples Summary</t>
  </si>
  <si>
    <t>Poundland Implied Valuation</t>
  </si>
  <si>
    <t>Low</t>
  </si>
  <si>
    <t>High</t>
  </si>
  <si>
    <t>EV / Revenue Implied Valuation</t>
  </si>
  <si>
    <t>Selected EV / Revenue Multiple</t>
  </si>
  <si>
    <t>Implied Enterprise Value (£m)</t>
  </si>
  <si>
    <t>Net Debt (Less) (£m)</t>
  </si>
  <si>
    <t>Implied Equity Value (£m)</t>
  </si>
  <si>
    <t>Poundland EV / EBITDA Valuation</t>
  </si>
  <si>
    <t>Selected EV / EBITDA Multiple</t>
  </si>
  <si>
    <t>Cash &amp; Cash Equivalents (£m)</t>
  </si>
  <si>
    <t>Enterprise Value (£m)</t>
  </si>
  <si>
    <t>Shares Outstanding (m)</t>
  </si>
  <si>
    <t>Equity Value / Market Cap (GBP) (£m)</t>
  </si>
  <si>
    <t>FX Conversion Rate</t>
  </si>
  <si>
    <t>FY23-25 average of -2.3%, assume stays fairly similar to average and to FY25 of -2%</t>
  </si>
  <si>
    <t>Stable FY21-24 at 7.9%, close stores that had higher D&amp;A and make improvements so steady decline</t>
  </si>
  <si>
    <t>Less at first then FY21-24 average of 6.85%, similar to D&amp;A so 6.85*(650/800)*0.7=3.89 so use 4% terminal</t>
  </si>
  <si>
    <t>FY22-25 simple average 3.9%, Indistry forecast 3.5%</t>
  </si>
  <si>
    <t>FY23-25 average of 15.5%, hard to maintains so gradual to industry at 9.85%</t>
  </si>
  <si>
    <t>FY26E Revenue (£m)</t>
  </si>
  <si>
    <t>FY26E EBITDA (£m)</t>
  </si>
  <si>
    <t>Very stable with average of 4.8% between FY22-25 but gradual decline</t>
  </si>
  <si>
    <t>EV / Revenue Multiple selection</t>
  </si>
  <si>
    <t>EV / EBITDA Multiple selection</t>
  </si>
  <si>
    <t>Selected Comparable Weightings</t>
  </si>
  <si>
    <t>Used minimum of comps (B&amp;M) because weak after restructuring, half of distance between min and 25th either side</t>
  </si>
  <si>
    <t>70/30 weighting towards EV / EBITDA to put emphasis on profitability after restructuring</t>
  </si>
  <si>
    <t>M&amp;A Analysis</t>
  </si>
  <si>
    <t>B&amp;M Historical</t>
  </si>
  <si>
    <t>B&amp;M Forecast</t>
  </si>
  <si>
    <t>Poundland Historical</t>
  </si>
  <si>
    <t>Poundland Forecast</t>
  </si>
  <si>
    <t>Comparable Companies</t>
  </si>
  <si>
    <t>Transaction Overview</t>
  </si>
  <si>
    <t>Transaction Date</t>
  </si>
  <si>
    <t>Acquirer</t>
  </si>
  <si>
    <t>Target</t>
  </si>
  <si>
    <t>Transaction Type</t>
  </si>
  <si>
    <t>Acquisition Premium</t>
  </si>
  <si>
    <t>Transaction Fees</t>
  </si>
  <si>
    <t>DCF Enterprise Value</t>
  </si>
  <si>
    <t>DCF Equity Value</t>
  </si>
  <si>
    <t>Comparable Enterprise Value</t>
  </si>
  <si>
    <t>Comparable Equity Value</t>
  </si>
  <si>
    <t>Selected Standalone Equity Value</t>
  </si>
  <si>
    <t>Standalone Equity Value</t>
  </si>
  <si>
    <t>Financing Assumptions</t>
  </si>
  <si>
    <t>Cash Consideration %</t>
  </si>
  <si>
    <t>Debt Consideration %</t>
  </si>
  <si>
    <t>Share Consideration %</t>
  </si>
  <si>
    <t>Total Financing %</t>
  </si>
  <si>
    <t>New Acquisition Debt</t>
  </si>
  <si>
    <t>Cash Consideration</t>
  </si>
  <si>
    <t>Debt Consideration</t>
  </si>
  <si>
    <t>Share Consideration</t>
  </si>
  <si>
    <t>Shares Issued</t>
  </si>
  <si>
    <t>Interest Rate on New Debt</t>
  </si>
  <si>
    <t>Financing Fees</t>
  </si>
  <si>
    <t>Pro Forma</t>
  </si>
  <si>
    <t>Incremental Interest Expense</t>
  </si>
  <si>
    <t>Revenue Synergies</t>
  </si>
  <si>
    <t>Driver</t>
  </si>
  <si>
    <t>Customer Base Optimisation</t>
  </si>
  <si>
    <t>Total Revenue Synergies</t>
  </si>
  <si>
    <t>Revenue Synergy % of Poundland Revenue</t>
  </si>
  <si>
    <t>Gross Revenue Synergies</t>
  </si>
  <si>
    <t>Incremental Gross Profit</t>
  </si>
  <si>
    <t>Incremental EBITDA</t>
  </si>
  <si>
    <t>Cost Synergies</t>
  </si>
  <si>
    <t>Procurement</t>
  </si>
  <si>
    <t>Head Office</t>
  </si>
  <si>
    <t>Technology</t>
  </si>
  <si>
    <t>Marketing</t>
  </si>
  <si>
    <t>Store Rationalisation</t>
  </si>
  <si>
    <t>Total Cost Synergies</t>
  </si>
  <si>
    <t>Gross Cost Synergies</t>
  </si>
  <si>
    <t>Integration Costs</t>
  </si>
  <si>
    <t>Redundancies</t>
  </si>
  <si>
    <t>IT Integration</t>
  </si>
  <si>
    <t>Rebranding</t>
  </si>
  <si>
    <t>Store Closures</t>
  </si>
  <si>
    <t>Consultancy / Professional Fees</t>
  </si>
  <si>
    <t>Systems Integration</t>
  </si>
  <si>
    <t>Total Integration Costs</t>
  </si>
  <si>
    <t>Cumulative Integration Costs</t>
  </si>
  <si>
    <t>B&amp;M Revenue</t>
  </si>
  <si>
    <t>Poundland Revenue</t>
  </si>
  <si>
    <t>B&amp;M EBITDA</t>
  </si>
  <si>
    <t>Poundland EBITDA</t>
  </si>
  <si>
    <t>Revenue Synergy EBITDA</t>
  </si>
  <si>
    <t>Net Income</t>
  </si>
  <si>
    <t>Cumulative Incremental FCF</t>
  </si>
  <si>
    <t>Revenue Increase %</t>
  </si>
  <si>
    <t>EBITDA Increase %</t>
  </si>
  <si>
    <t>Incremental FCF</t>
  </si>
  <si>
    <t>Leverage Increase</t>
  </si>
  <si>
    <t>Transaction Enterprise Value</t>
  </si>
  <si>
    <t>Acquisition Price Analysis</t>
  </si>
  <si>
    <t>B&amp;M Standalone Revenue</t>
  </si>
  <si>
    <t>B&amp;M Standalone EBITDA</t>
  </si>
  <si>
    <t>B&amp;M Standalone FCF</t>
  </si>
  <si>
    <t>B&amp;M Standalone Net Debt / EBITDA</t>
  </si>
  <si>
    <t>EPS Accretion / Dilution</t>
  </si>
  <si>
    <t>B&amp;M Existing Shares Outstanding</t>
  </si>
  <si>
    <t>B&amp;M Standalone EPS</t>
  </si>
  <si>
    <t>EPS Accretion / Dilution %</t>
  </si>
  <si>
    <t>First Year of EPS Accretion</t>
  </si>
  <si>
    <t>Standalone Poundland Equity Value</t>
  </si>
  <si>
    <t>Purchase Price</t>
  </si>
  <si>
    <t>PV of Incremental FCF</t>
  </si>
  <si>
    <t>PV of Revenue Synergies</t>
  </si>
  <si>
    <t>PV of Cost Synergies</t>
  </si>
  <si>
    <t>PV of Integration Costs</t>
  </si>
  <si>
    <t>PV of Transaction / Financing Costs</t>
  </si>
  <si>
    <t>Value Creation / (Destruction)</t>
  </si>
  <si>
    <t>Value Creation / Purchase Price</t>
  </si>
  <si>
    <t>Maximum Value-Creating Purchase Price</t>
  </si>
  <si>
    <t>Maximum Acquisition Premium</t>
  </si>
  <si>
    <t>Maximum EPS-Neutral Purchase Price</t>
  </si>
  <si>
    <t>Maximum EPS-Neutral Acquisition Premium</t>
  </si>
  <si>
    <t>Proposed Purchase Price</t>
  </si>
  <si>
    <t>Purchase Price Headroom / (Shortfall)</t>
  </si>
  <si>
    <t>Purchase Price Sensitivity</t>
  </si>
  <si>
    <t>Synergy Sensitivity</t>
  </si>
  <si>
    <t>Financing Mix Sensitivity</t>
  </si>
  <si>
    <t>New Debt</t>
  </si>
  <si>
    <t>Transaction</t>
  </si>
  <si>
    <t>Financing</t>
  </si>
  <si>
    <t>Synergies &amp; Integration</t>
  </si>
  <si>
    <t>Deal Impact</t>
  </si>
  <si>
    <t>FY30E EPS Accretion / Dilution</t>
  </si>
  <si>
    <t>FY30E Incremental FCF</t>
  </si>
  <si>
    <t>Investment Recommendation</t>
  </si>
  <si>
    <t>Transaction Status</t>
  </si>
  <si>
    <t>Key Financial Rationale</t>
  </si>
  <si>
    <t>Key Risk</t>
  </si>
  <si>
    <t>B&amp;M Enterprise Value Sensitivity Analysis</t>
  </si>
  <si>
    <t>Poundland Enterprise Value Sensitivity Analysis</t>
  </si>
  <si>
    <t>Target Net Debt</t>
  </si>
  <si>
    <t>Transaction EV</t>
  </si>
  <si>
    <t>Financing Calculation</t>
  </si>
  <si>
    <t>Pro Forma Capital Structure</t>
  </si>
  <si>
    <t>Synergies and Integration</t>
  </si>
  <si>
    <t>Other</t>
  </si>
  <si>
    <t>Realisation %</t>
  </si>
  <si>
    <t>Distribution</t>
  </si>
  <si>
    <t>Store rationalisation</t>
  </si>
  <si>
    <t>Opening stores</t>
  </si>
  <si>
    <t>Stores closed</t>
  </si>
  <si>
    <t>Remaining stores</t>
  </si>
  <si>
    <t>Revenue/store</t>
  </si>
  <si>
    <t>Revenue lost</t>
  </si>
  <si>
    <t>Rent savings</t>
  </si>
  <si>
    <t>Labour savings</t>
  </si>
  <si>
    <t>Other savings</t>
  </si>
  <si>
    <t>Total savings</t>
  </si>
  <si>
    <t>Net EBITDA impact</t>
  </si>
  <si>
    <t>Accretion &amp; Dilution</t>
  </si>
  <si>
    <t>Pro Forma Income Statement</t>
  </si>
  <si>
    <t>Pro Forma Revenue</t>
  </si>
  <si>
    <t>Pro Forma EBITDA</t>
  </si>
  <si>
    <t>Pro Forma EBIT</t>
  </si>
  <si>
    <t>Operating EBIT</t>
  </si>
  <si>
    <t>Interest</t>
  </si>
  <si>
    <t>PBT</t>
  </si>
  <si>
    <t>Pro Forma Net Income</t>
  </si>
  <si>
    <t>Pro Forma Free Cash Flow</t>
  </si>
  <si>
    <t>Change in NWC</t>
  </si>
  <si>
    <t>Operating FCF</t>
  </si>
  <si>
    <t>Transaction/Financing Costs</t>
  </si>
  <si>
    <t>Pro Forma FCF</t>
  </si>
  <si>
    <t>Incremental FCF vs B&amp;M</t>
  </si>
  <si>
    <t>B&amp;M standalone net income</t>
  </si>
  <si>
    <t>Poundland net income</t>
  </si>
  <si>
    <t>After-tax integration costs</t>
  </si>
  <si>
    <t>Incremental interest</t>
  </si>
  <si>
    <t>Pro forma net income</t>
  </si>
  <si>
    <t>B&amp;M standalone EPS</t>
  </si>
  <si>
    <t>Pro forma EPS</t>
  </si>
  <si>
    <t>EPS accretion/(dilution)</t>
  </si>
  <si>
    <t>EPS accretion/(dilution) %</t>
  </si>
  <si>
    <t>Acquistion Impact</t>
  </si>
  <si>
    <t>M&amp;A Analysis Value Creation</t>
  </si>
  <si>
    <t>PV of Transaction/Financing Costs</t>
  </si>
  <si>
    <t>NPV of Acquisition Benefits</t>
  </si>
  <si>
    <t>Summary &amp; Sensitivities</t>
  </si>
  <si>
    <t>Transaction Summary</t>
  </si>
  <si>
    <t>Standalone Valuation</t>
  </si>
  <si>
    <t>Transaction Valuation</t>
  </si>
  <si>
    <t>Deal Financing</t>
  </si>
  <si>
    <t>Synergies</t>
  </si>
  <si>
    <t>EPS Impact</t>
  </si>
  <si>
    <t>Value Creation</t>
  </si>
  <si>
    <t>Debt</t>
  </si>
  <si>
    <t>Shares</t>
  </si>
  <si>
    <t>Pro Forma Net Debt / EBITDA</t>
  </si>
  <si>
    <t>Value Creation / Destruction</t>
  </si>
  <si>
    <t>Purchase Price Headroom</t>
  </si>
  <si>
    <t>Synergy Summary</t>
  </si>
  <si>
    <t>Total EBITDA Synergies</t>
  </si>
  <si>
    <t>Net EBITDA Benefit</t>
  </si>
  <si>
    <t>Cover &amp; Index</t>
  </si>
  <si>
    <t>Cover</t>
  </si>
  <si>
    <t>B&amp;M / Poundland Acquisition Analysis</t>
  </si>
  <si>
    <t>Transaction date</t>
  </si>
  <si>
    <t>Prepared date</t>
  </si>
  <si>
    <t>Base case</t>
  </si>
  <si>
    <t>Confidentiality note if appropriate</t>
  </si>
  <si>
    <t>Index</t>
  </si>
  <si>
    <t>Sheet</t>
  </si>
  <si>
    <t>B&amp;M Operating Model</t>
  </si>
  <si>
    <t>Historical &amp; forecast standalone financials</t>
  </si>
  <si>
    <t>Poundland Operating Model</t>
  </si>
  <si>
    <t>Valuation</t>
  </si>
  <si>
    <t>Transaction structure, purchase price &amp; financing</t>
  </si>
  <si>
    <t>DCF &amp; comparable company valuation</t>
  </si>
  <si>
    <t>Synergy build, store rationalisation &amp; integration costs</t>
  </si>
  <si>
    <t>Pro forma financials, FCF &amp; EPS impact</t>
  </si>
  <si>
    <t>Key outputs, sensitivities &amp; recommendation</t>
  </si>
  <si>
    <t>Poundland Final Standalone Valuation</t>
  </si>
  <si>
    <t>Blended Equity Value</t>
  </si>
  <si>
    <t>Blended Equity Weightings</t>
  </si>
  <si>
    <t>Equity Purchase Price</t>
  </si>
  <si>
    <t>Maximum Price Analysis</t>
  </si>
  <si>
    <t>Inventory / Write-downs</t>
  </si>
  <si>
    <t>Pro Forma Shares Outstanding</t>
  </si>
  <si>
    <t>EV / FY26E Revenue</t>
  </si>
  <si>
    <t>EV / FY26E EBITDA</t>
  </si>
  <si>
    <t>Pro Forma EPS</t>
  </si>
  <si>
    <t>Acquistion Premium</t>
  </si>
  <si>
    <t xml:space="preserve">Net Debt (excl. leases) (£m) </t>
  </si>
  <si>
    <t>Financing Fee %</t>
  </si>
  <si>
    <t>Acquistion</t>
  </si>
  <si>
    <t>Transaction Fee</t>
  </si>
  <si>
    <t>Total Deal Cost</t>
  </si>
  <si>
    <t>Currency / Units</t>
  </si>
  <si>
    <t>Cross-selling / Basket size</t>
  </si>
  <si>
    <t>After-tax revenue synergy contribution</t>
  </si>
  <si>
    <t>After-tax cost synergy contribution</t>
  </si>
  <si>
    <t>50/50</t>
  </si>
  <si>
    <t>Assume 1% of purchase price</t>
  </si>
  <si>
    <t>EV / Revenue FY26E</t>
  </si>
  <si>
    <t>EV / EBITDA FY26E</t>
  </si>
  <si>
    <t>Explanation</t>
  </si>
  <si>
    <t>Use B&amp;M's existing implied pre-tax cost of debt from DCF</t>
  </si>
  <si>
    <t>No equity issuance in base case, share financing tested separately in sensitivity analysis</t>
  </si>
  <si>
    <t>Assume 1% of new acquisition debt</t>
  </si>
  <si>
    <t>Assume base case 15% to provide a meaningful but not excessive premium</t>
  </si>
  <si>
    <t>Use 0.5, 1, 1.5, 2, 2 % of Poundland revenue, increase with integration</t>
  </si>
  <si>
    <t>Use 0, 0.25, 0.5, 0.75, 1 as customer data and marketing integration improve</t>
  </si>
  <si>
    <t>Explanation / Assumption</t>
  </si>
  <si>
    <t>Synergies progressively realised and complete by FY30</t>
  </si>
  <si>
    <t>Assume 30% incremental gross margin consistent with Poundlands implied</t>
  </si>
  <si>
    <t>Assume 20% incremental EBITDA margin after operating costs</t>
  </si>
  <si>
    <t>Assume acquistion accelerates rationalisation of weakest locations</t>
  </si>
  <si>
    <t>Assume 25%</t>
  </si>
  <si>
    <t>Assume 35%</t>
  </si>
  <si>
    <t>Linked to Net EBITDA Impact below</t>
  </si>
  <si>
    <t>% of Poundland Revenue</t>
  </si>
  <si>
    <t>Same as revenue synergies</t>
  </si>
  <si>
    <t>£9m total costs spread over 3 years after restructuring</t>
  </si>
  <si>
    <t>Assume £100k per closure</t>
  </si>
  <si>
    <t>£5m total inventory related costs from clearance and write downs</t>
  </si>
  <si>
    <t>Forecast Years</t>
  </si>
  <si>
    <t>FY28</t>
  </si>
  <si>
    <t>EPS: Maximum Total Deal Cost</t>
  </si>
  <si>
    <t>EPS: Incremental earnings to cover acquistion financing</t>
  </si>
  <si>
    <t>EPS: After tax csot of debt</t>
  </si>
  <si>
    <t>£5m total rebranding costs</t>
  </si>
  <si>
    <t>Revenue Synergies FY30</t>
  </si>
  <si>
    <t>Cost Synergies FY30</t>
  </si>
  <si>
    <t>Integration Costs FY30 Cumulative</t>
  </si>
  <si>
    <t>Use 0, 0.5, 1, 1.5, 1.5 increases as B&amp;M's channels and locations are utilised</t>
  </si>
  <si>
    <t>Channel / Estate Optimisation</t>
  </si>
  <si>
    <t>£12m total IT integration expenditure</t>
  </si>
  <si>
    <t>£6m total expenditure to integrate finance, reporting, and systems</t>
  </si>
  <si>
    <t>Assume 45 underperforming stores close over next 5 years</t>
  </si>
  <si>
    <t>£6m total professional and integration advisory costs</t>
  </si>
  <si>
    <t>£3m contingency for miscellaneous integration costs</t>
  </si>
  <si>
    <t>Procurement savings from B&amp;M greater purchasing scale etc so use 0.5, 0.65, 0.8, 1, 1.25%</t>
  </si>
  <si>
    <t>Distribution savings from network optimisation etc so use 0.1, 0.2, 0.3, 0.4, 0.5 %</t>
  </si>
  <si>
    <t>Savings from removing duplicate corporate functions so use 0.3, 0.4, 0.5, 0.6, 0.7 % of Poundland Revenue</t>
  </si>
  <si>
    <t>Savings from combining software licenses, IT infrastructure so use 0.1, 0.15, 0.15, 0.2, 0.2 %</t>
  </si>
  <si>
    <t>Savings from marketing by combining campaigns etc. so use 0.1, 0.15, 0.15, 0.2, 0.2 %</t>
  </si>
  <si>
    <t>Pro Forma Cash</t>
  </si>
  <si>
    <t>FY28 EPS Accretion</t>
  </si>
  <si>
    <t>Synergy Sensitivity (% of Base Case)</t>
  </si>
  <si>
    <t>Total Synergies FY30</t>
  </si>
  <si>
    <t>EPS Accretion / Dilution FY28</t>
  </si>
  <si>
    <t>B&amp;M FY26A</t>
  </si>
  <si>
    <t>Remaining after cash</t>
  </si>
  <si>
    <t>Balanced 50/50</t>
  </si>
  <si>
    <t>Value creation from procurement, distribution, head-office ad revenue synergies, cumulative incremental FCF reaches ~£167.7m with EPS accretion reaching 31% by FY30</t>
  </si>
  <si>
    <t>Proceed with 15% acquisition premium with value creation of £17.4m (4.5% of purchase price), with EPS accretion from FY28</t>
  </si>
  <si>
    <t>Limited valuation headroom as value creation falls to ~0% at 20.2% premium. Execution and synergy risks mean B&amp;M should avoid exceeding proposed 15%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</si>
</sst>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168" formatCode="0.0%"/>
    <numFmt numFmtId="172" formatCode="0.000"/>
    <numFmt numFmtId="182" formatCode="0.0000000000000000%"/>
    <numFmt numFmtId="187" formatCode="0.0"/>
    <numFmt numFmtId="188" formatCode="_-[$£-809]* #,##0.00_-;\-[$£-809]* #,##0.00_-;_-[$£-809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2" fillId="0" borderId="0" xfId="0" applyFont="1"/>
    <xf numFmtId="44" fontId="0" fillId="0" borderId="0" xfId="1" applyFont="1"/>
    <xf numFmtId="9" fontId="0" fillId="0" borderId="0" xfId="2" applyFont="1"/>
    <xf numFmtId="44" fontId="0" fillId="0" borderId="0" xfId="0" applyNumberFormat="1"/>
    <xf numFmtId="0" fontId="0" fillId="0" borderId="1" xfId="0" applyBorder="1"/>
    <xf numFmtId="0" fontId="2" fillId="0" borderId="1" xfId="0" applyFont="1" applyBorder="1"/>
    <xf numFmtId="0" fontId="0" fillId="0" borderId="0" xfId="0" applyBorder="1"/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68" fontId="0" fillId="0" borderId="0" xfId="2" applyNumberFormat="1" applyFont="1"/>
    <xf numFmtId="168" fontId="0" fillId="0" borderId="0" xfId="2" applyNumberFormat="1" applyFont="1" applyAlignment="1">
      <alignment vertical="center" wrapText="1"/>
    </xf>
    <xf numFmtId="9" fontId="0" fillId="0" borderId="0" xfId="0" applyNumberFormat="1"/>
    <xf numFmtId="168" fontId="0" fillId="0" borderId="0" xfId="2" applyNumberFormat="1" applyFont="1" applyBorder="1"/>
    <xf numFmtId="0" fontId="0" fillId="0" borderId="2" xfId="0" applyBorder="1" applyAlignment="1">
      <alignment vertical="center" wrapText="1"/>
    </xf>
    <xf numFmtId="10" fontId="0" fillId="0" borderId="0" xfId="0" applyNumberFormat="1"/>
    <xf numFmtId="0" fontId="0" fillId="0" borderId="0" xfId="0" applyFont="1"/>
    <xf numFmtId="0" fontId="0" fillId="0" borderId="1" xfId="0" applyFont="1" applyBorder="1"/>
    <xf numFmtId="14" fontId="0" fillId="0" borderId="0" xfId="0" applyNumberFormat="1" applyFont="1"/>
    <xf numFmtId="0" fontId="0" fillId="0" borderId="0" xfId="0" applyFont="1"/>
    <xf numFmtId="0" fontId="0" fillId="0" borderId="2" xfId="0" applyFont="1" applyBorder="1"/>
    <xf numFmtId="10" fontId="0" fillId="0" borderId="0" xfId="2" applyNumberFormat="1" applyFont="1"/>
    <xf numFmtId="0" fontId="0" fillId="0" borderId="0" xfId="0" applyFont="1" applyFill="1" applyBorder="1"/>
    <xf numFmtId="2" fontId="0" fillId="0" borderId="0" xfId="2" applyNumberFormat="1" applyFont="1"/>
    <xf numFmtId="2" fontId="0" fillId="0" borderId="0" xfId="0" applyNumberFormat="1"/>
    <xf numFmtId="44" fontId="0" fillId="0" borderId="0" xfId="0" applyNumberFormat="1" applyFont="1"/>
    <xf numFmtId="168" fontId="2" fillId="0" borderId="1" xfId="0" applyNumberFormat="1" applyFont="1" applyBorder="1"/>
    <xf numFmtId="9" fontId="2" fillId="0" borderId="1" xfId="0" applyNumberFormat="1" applyFont="1" applyBorder="1"/>
    <xf numFmtId="182" fontId="0" fillId="0" borderId="0" xfId="0" applyNumberFormat="1" applyFont="1"/>
    <xf numFmtId="44" fontId="2" fillId="0" borderId="0" xfId="1" applyFont="1"/>
    <xf numFmtId="0" fontId="0" fillId="0" borderId="0" xfId="0" applyFont="1" applyBorder="1"/>
    <xf numFmtId="0" fontId="2" fillId="0" borderId="1" xfId="0" applyFont="1" applyFill="1" applyBorder="1"/>
    <xf numFmtId="44" fontId="0" fillId="0" borderId="0" xfId="1" applyFont="1" applyBorder="1"/>
    <xf numFmtId="188" fontId="0" fillId="0" borderId="0" xfId="1" applyNumberFormat="1" applyFont="1"/>
    <xf numFmtId="172" fontId="0" fillId="0" borderId="0" xfId="1" applyNumberFormat="1" applyFont="1"/>
    <xf numFmtId="188" fontId="0" fillId="0" borderId="0" xfId="2" applyNumberFormat="1" applyFont="1"/>
    <xf numFmtId="2" fontId="0" fillId="0" borderId="0" xfId="0" applyNumberFormat="1" applyFont="1" applyBorder="1"/>
    <xf numFmtId="187" fontId="0" fillId="0" borderId="0" xfId="0" applyNumberFormat="1" applyFont="1" applyBorder="1"/>
    <xf numFmtId="0" fontId="0" fillId="0" borderId="0" xfId="0"/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Fill="1" applyBorder="1"/>
    <xf numFmtId="2" fontId="0" fillId="0" borderId="0" xfId="0" applyNumberFormat="1" applyFont="1"/>
    <xf numFmtId="44" fontId="2" fillId="0" borderId="0" xfId="0" applyNumberFormat="1" applyFont="1"/>
    <xf numFmtId="2" fontId="2" fillId="0" borderId="0" xfId="0" applyNumberFormat="1" applyFont="1"/>
    <xf numFmtId="168" fontId="0" fillId="0" borderId="0" xfId="2" applyNumberFormat="1" applyFont="1" applyFill="1"/>
    <xf numFmtId="168" fontId="2" fillId="0" borderId="0" xfId="2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44" fontId="0" fillId="0" borderId="0" xfId="1" applyFont="1" applyFill="1"/>
    <xf numFmtId="44" fontId="2" fillId="0" borderId="0" xfId="1" applyFont="1" applyFill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D9D8-A165-4788-83BF-E7F3BE4111EC}">
  <dimension ref="A1:B19"/>
  <sheetViews>
    <sheetView showGridLines="0" zoomScale="119" workbookViewId="0">
      <selection activeCell="B8" sqref="B8"/>
    </sheetView>
  </sheetViews>
  <sheetFormatPr defaultRowHeight="14.5" x14ac:dyDescent="0.35"/>
  <cols>
    <col min="1" max="1" width="31.26953125" bestFit="1" customWidth="1"/>
    <col min="2" max="2" width="44.54296875" bestFit="1" customWidth="1"/>
  </cols>
  <sheetData>
    <row r="1" spans="1:2" x14ac:dyDescent="0.35">
      <c r="A1" s="3" t="s">
        <v>336</v>
      </c>
    </row>
    <row r="3" spans="1:2" x14ac:dyDescent="0.35">
      <c r="A3" s="3" t="s">
        <v>337</v>
      </c>
    </row>
    <row r="4" spans="1:2" x14ac:dyDescent="0.35">
      <c r="A4" t="s">
        <v>338</v>
      </c>
    </row>
    <row r="5" spans="1:2" x14ac:dyDescent="0.35">
      <c r="A5" t="s">
        <v>339</v>
      </c>
    </row>
    <row r="6" spans="1:2" x14ac:dyDescent="0.35">
      <c r="A6" t="s">
        <v>340</v>
      </c>
    </row>
    <row r="7" spans="1:2" x14ac:dyDescent="0.35">
      <c r="A7" t="s">
        <v>341</v>
      </c>
    </row>
    <row r="8" spans="1:2" x14ac:dyDescent="0.35">
      <c r="A8" t="s">
        <v>370</v>
      </c>
    </row>
    <row r="9" spans="1:2" x14ac:dyDescent="0.35">
      <c r="A9" t="s">
        <v>342</v>
      </c>
    </row>
    <row r="11" spans="1:2" x14ac:dyDescent="0.35">
      <c r="A11" s="3" t="s">
        <v>343</v>
      </c>
    </row>
    <row r="12" spans="1:2" x14ac:dyDescent="0.35">
      <c r="A12" s="3" t="s">
        <v>344</v>
      </c>
      <c r="B12" s="3" t="s">
        <v>51</v>
      </c>
    </row>
    <row r="13" spans="1:2" x14ac:dyDescent="0.35">
      <c r="A13" t="s">
        <v>345</v>
      </c>
      <c r="B13" t="s">
        <v>346</v>
      </c>
    </row>
    <row r="14" spans="1:2" x14ac:dyDescent="0.35">
      <c r="A14" t="s">
        <v>347</v>
      </c>
      <c r="B14" t="s">
        <v>346</v>
      </c>
    </row>
    <row r="15" spans="1:2" x14ac:dyDescent="0.35">
      <c r="A15" t="s">
        <v>348</v>
      </c>
      <c r="B15" t="s">
        <v>350</v>
      </c>
    </row>
    <row r="16" spans="1:2" x14ac:dyDescent="0.35">
      <c r="A16" t="s">
        <v>162</v>
      </c>
      <c r="B16" t="s">
        <v>349</v>
      </c>
    </row>
    <row r="17" spans="1:2" x14ac:dyDescent="0.35">
      <c r="A17" t="s">
        <v>263</v>
      </c>
      <c r="B17" t="s">
        <v>351</v>
      </c>
    </row>
    <row r="18" spans="1:2" x14ac:dyDescent="0.35">
      <c r="A18" t="s">
        <v>292</v>
      </c>
      <c r="B18" t="s">
        <v>352</v>
      </c>
    </row>
    <row r="19" spans="1:2" x14ac:dyDescent="0.35">
      <c r="A19" t="s">
        <v>320</v>
      </c>
      <c r="B19" t="s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77BE-B60B-4BF6-9F9F-54184165ACBD}">
  <sheetPr>
    <pageSetUpPr autoPageBreaks="0"/>
  </sheetPr>
  <dimension ref="A1:O48"/>
  <sheetViews>
    <sheetView showGridLines="0" tabSelected="1" zoomScale="80" zoomScaleNormal="80" workbookViewId="0">
      <selection activeCell="H24" sqref="H24"/>
    </sheetView>
  </sheetViews>
  <sheetFormatPr defaultRowHeight="14.5" x14ac:dyDescent="0.35"/>
  <cols>
    <col min="1" max="1" width="29.81640625" bestFit="1" customWidth="1"/>
    <col min="2" max="3" width="12.453125" bestFit="1" customWidth="1"/>
    <col min="4" max="4" width="11.36328125" bestFit="1" customWidth="1"/>
    <col min="5" max="6" width="12.453125" bestFit="1" customWidth="1"/>
    <col min="10" max="10" width="29.81640625" bestFit="1" customWidth="1"/>
    <col min="11" max="15" width="12.90625" customWidth="1"/>
  </cols>
  <sheetData>
    <row r="1" spans="1:15" x14ac:dyDescent="0.35">
      <c r="A1" s="3" t="s">
        <v>163</v>
      </c>
      <c r="J1" s="3" t="s">
        <v>164</v>
      </c>
    </row>
    <row r="3" spans="1:15" ht="15" thickBot="1" x14ac:dyDescent="0.4">
      <c r="A3" s="8" t="s">
        <v>18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J3" s="8" t="s">
        <v>18</v>
      </c>
      <c r="K3" s="8" t="s">
        <v>41</v>
      </c>
      <c r="L3" s="8" t="s">
        <v>42</v>
      </c>
      <c r="M3" s="8" t="s">
        <v>43</v>
      </c>
      <c r="N3" s="8" t="s">
        <v>44</v>
      </c>
      <c r="O3" s="8" t="s">
        <v>45</v>
      </c>
    </row>
    <row r="4" spans="1:15" x14ac:dyDescent="0.35">
      <c r="A4" t="s">
        <v>9</v>
      </c>
      <c r="B4" s="2">
        <v>44282</v>
      </c>
      <c r="C4" s="2">
        <v>44646</v>
      </c>
      <c r="D4" s="2">
        <v>45010</v>
      </c>
      <c r="E4" s="2">
        <v>45381</v>
      </c>
      <c r="F4" s="2">
        <v>45745</v>
      </c>
      <c r="J4" t="s">
        <v>9</v>
      </c>
      <c r="K4" s="2">
        <v>46109</v>
      </c>
      <c r="L4" s="2">
        <v>46473</v>
      </c>
      <c r="M4" s="2">
        <v>46837</v>
      </c>
      <c r="N4" s="2">
        <v>47207</v>
      </c>
      <c r="O4" s="2">
        <v>47571</v>
      </c>
    </row>
    <row r="6" spans="1:15" ht="15" thickBot="1" x14ac:dyDescent="0.4">
      <c r="A6" s="8" t="s">
        <v>10</v>
      </c>
      <c r="B6" s="7"/>
      <c r="C6" s="7"/>
      <c r="D6" s="7"/>
      <c r="E6" s="7"/>
      <c r="F6" s="7"/>
      <c r="J6" s="8" t="s">
        <v>46</v>
      </c>
      <c r="K6" s="7"/>
      <c r="L6" s="7"/>
      <c r="M6" s="7"/>
      <c r="N6" s="7"/>
      <c r="O6" s="7"/>
    </row>
    <row r="7" spans="1:15" x14ac:dyDescent="0.35">
      <c r="A7" t="s">
        <v>26</v>
      </c>
      <c r="B7" s="4">
        <v>4801.4250000000002</v>
      </c>
      <c r="C7" s="4">
        <v>4673</v>
      </c>
      <c r="D7" s="4">
        <v>4983</v>
      </c>
      <c r="E7" s="4">
        <v>5484</v>
      </c>
      <c r="F7" s="4">
        <v>5571</v>
      </c>
      <c r="J7" s="1" t="s">
        <v>12</v>
      </c>
      <c r="K7" s="12">
        <v>3.5000000000000003E-2</v>
      </c>
      <c r="L7" s="12">
        <v>3.5000000000000003E-2</v>
      </c>
      <c r="M7" s="12">
        <v>3.5000000000000003E-2</v>
      </c>
      <c r="N7" s="12">
        <v>3.5000000000000003E-2</v>
      </c>
      <c r="O7" s="12">
        <v>3.5000000000000003E-2</v>
      </c>
    </row>
    <row r="8" spans="1:15" x14ac:dyDescent="0.35">
      <c r="A8" t="s">
        <v>12</v>
      </c>
      <c r="B8" s="12">
        <f>(B7/3813.387)-1</f>
        <v>0.25909722774006405</v>
      </c>
      <c r="C8" s="12">
        <f>(C7/B7)-1</f>
        <v>-2.6747267738223557E-2</v>
      </c>
      <c r="D8" s="12">
        <f>(D7/C7)-1</f>
        <v>6.633854055210775E-2</v>
      </c>
      <c r="E8" s="12">
        <f>(E7/D7)-1</f>
        <v>0.10054184226369656</v>
      </c>
      <c r="F8" s="12">
        <f>(F7/E7)-1</f>
        <v>1.5864332603938713E-2</v>
      </c>
      <c r="J8" s="1" t="s">
        <v>14</v>
      </c>
      <c r="K8" s="12">
        <v>0.13500000000000001</v>
      </c>
      <c r="L8" s="12">
        <v>0.125</v>
      </c>
      <c r="M8" s="12">
        <v>0.11749999999999999</v>
      </c>
      <c r="N8" s="12">
        <v>0.1075</v>
      </c>
      <c r="O8" s="12">
        <v>9.8500000000000004E-2</v>
      </c>
    </row>
    <row r="9" spans="1:15" x14ac:dyDescent="0.35">
      <c r="A9" t="s">
        <v>36</v>
      </c>
      <c r="B9" s="4">
        <f>B11+B24</f>
        <v>828.66100000000006</v>
      </c>
      <c r="C9" s="4">
        <f>C11+C24</f>
        <v>837</v>
      </c>
      <c r="D9" s="4">
        <f>D11+D24</f>
        <v>778</v>
      </c>
      <c r="E9" s="4">
        <f>E11+E24</f>
        <v>866</v>
      </c>
      <c r="F9" s="4">
        <f>F11+F24</f>
        <v>839</v>
      </c>
      <c r="J9" s="1" t="s">
        <v>47</v>
      </c>
      <c r="K9" s="23">
        <v>4.8500000000000001E-2</v>
      </c>
      <c r="L9" s="23">
        <v>4.8000000000000001E-2</v>
      </c>
      <c r="M9" s="23">
        <v>4.7500000000000001E-2</v>
      </c>
      <c r="N9" s="23">
        <v>4.7E-2</v>
      </c>
      <c r="O9" s="23">
        <v>4.65E-2</v>
      </c>
    </row>
    <row r="10" spans="1:15" x14ac:dyDescent="0.35">
      <c r="A10" t="s">
        <v>14</v>
      </c>
      <c r="B10" s="12">
        <f>B9/B7</f>
        <v>0.17258647172454011</v>
      </c>
      <c r="C10" s="12">
        <f>C9/C7</f>
        <v>0.1791140594906912</v>
      </c>
      <c r="D10" s="12">
        <f t="shared" ref="D10:E10" si="0">D9/D7</f>
        <v>0.15613084487256673</v>
      </c>
      <c r="E10" s="12">
        <f t="shared" si="0"/>
        <v>0.15791393143690738</v>
      </c>
      <c r="F10" s="12">
        <f>F9/F7</f>
        <v>0.15060132830730569</v>
      </c>
      <c r="J10" s="1" t="s">
        <v>25</v>
      </c>
      <c r="K10" s="23">
        <v>2.3900000000000001E-2</v>
      </c>
      <c r="L10" s="23">
        <v>2.46E-2</v>
      </c>
      <c r="M10" s="23">
        <v>2.5399999999999999E-2</v>
      </c>
      <c r="N10" s="23">
        <v>2.6200000000000001E-2</v>
      </c>
      <c r="O10" s="23">
        <v>2.7E-2</v>
      </c>
    </row>
    <row r="11" spans="1:15" x14ac:dyDescent="0.35">
      <c r="A11" t="s">
        <v>27</v>
      </c>
      <c r="B11" s="4">
        <v>613.41399999999999</v>
      </c>
      <c r="C11" s="4">
        <v>610</v>
      </c>
      <c r="D11" s="4">
        <v>536</v>
      </c>
      <c r="E11" s="4">
        <v>608</v>
      </c>
      <c r="F11" s="4">
        <v>566</v>
      </c>
      <c r="J11" s="1" t="s">
        <v>48</v>
      </c>
      <c r="K11" s="13">
        <v>0.25</v>
      </c>
      <c r="L11" s="13">
        <v>0.25</v>
      </c>
      <c r="M11" s="13">
        <v>0.25</v>
      </c>
      <c r="N11" s="13">
        <v>0.25</v>
      </c>
      <c r="O11" s="13">
        <v>0.25</v>
      </c>
    </row>
    <row r="12" spans="1:15" x14ac:dyDescent="0.35">
      <c r="A12" t="s">
        <v>16</v>
      </c>
      <c r="B12" s="12">
        <f>B11/B7</f>
        <v>0.12775665557620913</v>
      </c>
      <c r="C12" s="12">
        <f t="shared" ref="C12:F12" si="1">C11/C7</f>
        <v>0.13053712818317997</v>
      </c>
      <c r="D12" s="12">
        <f t="shared" si="1"/>
        <v>0.1075657234597632</v>
      </c>
      <c r="E12" s="12">
        <f t="shared" si="1"/>
        <v>0.11086797957695113</v>
      </c>
      <c r="F12" s="12">
        <f t="shared" si="1"/>
        <v>0.10159755878657332</v>
      </c>
      <c r="J12" s="1" t="s">
        <v>49</v>
      </c>
      <c r="K12" s="12">
        <v>0.06</v>
      </c>
      <c r="L12" s="12">
        <v>0.06</v>
      </c>
      <c r="M12" s="12">
        <v>0.06</v>
      </c>
      <c r="N12" s="12">
        <v>0.06</v>
      </c>
      <c r="O12" s="12">
        <v>0.06</v>
      </c>
    </row>
    <row r="13" spans="1:15" x14ac:dyDescent="0.35">
      <c r="A13" t="s">
        <v>28</v>
      </c>
      <c r="B13" s="4">
        <v>428.10399999999998</v>
      </c>
      <c r="C13" s="4">
        <v>422</v>
      </c>
      <c r="D13" s="4">
        <v>348</v>
      </c>
      <c r="E13" s="4">
        <v>367</v>
      </c>
      <c r="F13" s="4">
        <v>319</v>
      </c>
    </row>
    <row r="14" spans="1:15" ht="15" thickBot="1" x14ac:dyDescent="0.4">
      <c r="A14" t="s">
        <v>17</v>
      </c>
      <c r="B14" s="12">
        <f xml:space="preserve"> B13/B7</f>
        <v>8.9161863405134933E-2</v>
      </c>
      <c r="C14" s="12">
        <f t="shared" ref="C14:E14" si="2" xml:space="preserve"> C13/C7</f>
        <v>9.030601326770811E-2</v>
      </c>
      <c r="D14" s="12">
        <f t="shared" si="2"/>
        <v>6.9837447320891033E-2</v>
      </c>
      <c r="E14" s="12">
        <f t="shared" si="2"/>
        <v>6.692195477753464E-2</v>
      </c>
      <c r="F14" s="12">
        <f xml:space="preserve"> F13/F7</f>
        <v>5.7260814934482138E-2</v>
      </c>
      <c r="J14" s="8" t="s">
        <v>10</v>
      </c>
      <c r="K14" s="7"/>
      <c r="L14" s="7"/>
      <c r="M14" s="7"/>
      <c r="N14" s="7"/>
      <c r="O14" s="7"/>
    </row>
    <row r="15" spans="1:15" x14ac:dyDescent="0.35">
      <c r="B15" s="6"/>
      <c r="J15" t="s">
        <v>26</v>
      </c>
      <c r="K15" s="4">
        <f>F7*(1+K16)</f>
        <v>5765.9849999999997</v>
      </c>
      <c r="L15" s="4">
        <f>K15*(1+L16)</f>
        <v>5967.7944749999988</v>
      </c>
      <c r="M15" s="4">
        <f>L15*(1+M16)</f>
        <v>6176.6672816249984</v>
      </c>
      <c r="N15" s="4">
        <f>M15*(1+N16)</f>
        <v>6392.8506364818732</v>
      </c>
      <c r="O15" s="4">
        <f>N15*(1+O16)</f>
        <v>6616.600408758738</v>
      </c>
    </row>
    <row r="16" spans="1:15" ht="15" thickBot="1" x14ac:dyDescent="0.4">
      <c r="A16" s="8" t="s">
        <v>19</v>
      </c>
      <c r="B16" s="7"/>
      <c r="C16" s="7"/>
      <c r="D16" s="7"/>
      <c r="E16" s="7"/>
      <c r="F16" s="7"/>
      <c r="J16" t="s">
        <v>12</v>
      </c>
      <c r="K16" s="12">
        <f>K7</f>
        <v>3.5000000000000003E-2</v>
      </c>
      <c r="L16" s="12">
        <f>L7</f>
        <v>3.5000000000000003E-2</v>
      </c>
      <c r="M16" s="12">
        <f>M7</f>
        <v>3.5000000000000003E-2</v>
      </c>
      <c r="N16" s="12">
        <f>N7</f>
        <v>3.5000000000000003E-2</v>
      </c>
      <c r="O16" s="12">
        <f>O7</f>
        <v>3.5000000000000003E-2</v>
      </c>
    </row>
    <row r="17" spans="1:15" x14ac:dyDescent="0.35">
      <c r="A17" t="s">
        <v>37</v>
      </c>
      <c r="B17" s="4">
        <v>217.68199999999999</v>
      </c>
      <c r="C17" s="4">
        <v>173</v>
      </c>
      <c r="D17" s="4">
        <v>237</v>
      </c>
      <c r="E17" s="4">
        <v>182</v>
      </c>
      <c r="F17" s="4">
        <v>217</v>
      </c>
      <c r="J17" t="s">
        <v>36</v>
      </c>
      <c r="K17" s="4">
        <f>K15*K18</f>
        <v>778.40797499999996</v>
      </c>
      <c r="L17" s="4">
        <f>L15*L18</f>
        <v>745.97430937499985</v>
      </c>
      <c r="M17" s="4">
        <f>M15*M18</f>
        <v>725.75840559093729</v>
      </c>
      <c r="N17" s="4">
        <f>N15*N18</f>
        <v>687.23144342180137</v>
      </c>
      <c r="O17" s="4">
        <f>O15*O18</f>
        <v>651.73514026273574</v>
      </c>
    </row>
    <row r="18" spans="1:15" x14ac:dyDescent="0.35">
      <c r="A18" t="s">
        <v>29</v>
      </c>
      <c r="B18" s="4">
        <v>737</v>
      </c>
      <c r="C18" s="4">
        <v>963</v>
      </c>
      <c r="D18" s="4">
        <v>961</v>
      </c>
      <c r="E18" s="4">
        <v>919</v>
      </c>
      <c r="F18" s="4">
        <v>1148</v>
      </c>
      <c r="J18" t="s">
        <v>14</v>
      </c>
      <c r="K18" s="12">
        <f>K8</f>
        <v>0.13500000000000001</v>
      </c>
      <c r="L18" s="12">
        <f>L8</f>
        <v>0.125</v>
      </c>
      <c r="M18" s="12">
        <f>M8</f>
        <v>0.11749999999999999</v>
      </c>
      <c r="N18" s="12">
        <f>N8</f>
        <v>0.1075</v>
      </c>
      <c r="O18" s="12">
        <f>O8</f>
        <v>9.8500000000000004E-2</v>
      </c>
    </row>
    <row r="19" spans="1:15" x14ac:dyDescent="0.35">
      <c r="A19" t="s">
        <v>39</v>
      </c>
      <c r="B19" s="4">
        <v>1301.3689999999999</v>
      </c>
      <c r="C19" s="4">
        <v>1310</v>
      </c>
      <c r="D19" s="4">
        <v>1301</v>
      </c>
      <c r="E19" s="4">
        <v>1357</v>
      </c>
      <c r="F19" s="4">
        <v>1430</v>
      </c>
      <c r="J19" t="s">
        <v>30</v>
      </c>
      <c r="K19" s="4">
        <f>K15*K9</f>
        <v>279.65027249999997</v>
      </c>
      <c r="L19" s="4">
        <f>L15*L9</f>
        <v>286.45413479999996</v>
      </c>
      <c r="M19" s="4">
        <f>M15*M9</f>
        <v>293.39169587718743</v>
      </c>
      <c r="N19" s="4">
        <f>N15*N9</f>
        <v>300.46397991464806</v>
      </c>
      <c r="O19" s="4">
        <f>O15*O9</f>
        <v>307.6719190072813</v>
      </c>
    </row>
    <row r="20" spans="1:15" x14ac:dyDescent="0.35">
      <c r="A20" t="s">
        <v>365</v>
      </c>
      <c r="B20" s="4">
        <f>B18-B17</f>
        <v>519.31799999999998</v>
      </c>
      <c r="C20" s="4">
        <f>C18-C17</f>
        <v>790</v>
      </c>
      <c r="D20" s="4">
        <f t="shared" ref="D20:E20" si="3">D18-D17</f>
        <v>724</v>
      </c>
      <c r="E20" s="4">
        <f t="shared" si="3"/>
        <v>737</v>
      </c>
      <c r="F20" s="4">
        <f>F18-F17</f>
        <v>931</v>
      </c>
      <c r="J20" t="s">
        <v>27</v>
      </c>
      <c r="K20" s="4">
        <f>K17-K19</f>
        <v>498.75770249999999</v>
      </c>
      <c r="L20" s="4">
        <f>L17-L19</f>
        <v>459.52017457499988</v>
      </c>
      <c r="M20" s="4">
        <f>M17-M19</f>
        <v>432.36670971374986</v>
      </c>
      <c r="N20" s="4">
        <f>N17-N19</f>
        <v>386.76746350715331</v>
      </c>
      <c r="O20" s="4">
        <f>O17-O19</f>
        <v>344.06322125545444</v>
      </c>
    </row>
    <row r="21" spans="1:15" x14ac:dyDescent="0.35">
      <c r="A21" t="s">
        <v>22</v>
      </c>
      <c r="B21" s="25">
        <f>B20/B9</f>
        <v>0.62669535551932565</v>
      </c>
      <c r="C21" s="25">
        <f>C20/C9</f>
        <v>0.9438470728793309</v>
      </c>
      <c r="D21" s="25">
        <f t="shared" ref="D21:F21" si="4">D20/D9</f>
        <v>0.93059125964010281</v>
      </c>
      <c r="E21" s="25">
        <f t="shared" si="4"/>
        <v>0.85103926096997695</v>
      </c>
      <c r="F21" s="25">
        <f t="shared" si="4"/>
        <v>1.1096543504171632</v>
      </c>
      <c r="J21" t="s">
        <v>16</v>
      </c>
      <c r="K21" s="12">
        <f>K20/K15</f>
        <v>8.6500000000000007E-2</v>
      </c>
      <c r="L21" s="12">
        <f>L20/L15</f>
        <v>7.6999999999999999E-2</v>
      </c>
      <c r="M21" s="12">
        <f>M20/M15</f>
        <v>6.9999999999999993E-2</v>
      </c>
      <c r="N21" s="12">
        <f>N20/N15</f>
        <v>6.0499999999999998E-2</v>
      </c>
      <c r="O21" s="12">
        <f>O20/O15</f>
        <v>5.2000000000000011E-2</v>
      </c>
    </row>
    <row r="22" spans="1:15" x14ac:dyDescent="0.35">
      <c r="B22" s="25"/>
      <c r="C22" s="25"/>
      <c r="D22" s="25"/>
      <c r="E22" s="25"/>
      <c r="F22" s="25"/>
      <c r="J22" t="s">
        <v>298</v>
      </c>
      <c r="K22" s="4">
        <f>Valuation!B14*'B&amp;M Operating Model'!F18</f>
        <v>76.571599999999989</v>
      </c>
      <c r="L22" s="4">
        <f>Valuation!B14*'B&amp;M Operating Model'!F18</f>
        <v>76.571599999999989</v>
      </c>
      <c r="M22" s="4">
        <f>Valuation!B14*'B&amp;M Operating Model'!F18</f>
        <v>76.571599999999989</v>
      </c>
      <c r="N22" s="4">
        <f>Valuation!B14*'B&amp;M Operating Model'!F18</f>
        <v>76.571599999999989</v>
      </c>
      <c r="O22" s="4">
        <f>Valuation!B14*'B&amp;M Operating Model'!F18</f>
        <v>76.571599999999989</v>
      </c>
    </row>
    <row r="23" spans="1:15" ht="15" thickBot="1" x14ac:dyDescent="0.4">
      <c r="A23" s="8" t="s">
        <v>23</v>
      </c>
      <c r="B23" s="7"/>
      <c r="C23" s="7"/>
      <c r="D23" s="7"/>
      <c r="E23" s="7"/>
      <c r="F23" s="7"/>
      <c r="J23" t="s">
        <v>299</v>
      </c>
      <c r="K23" s="4">
        <f>K20-K22</f>
        <v>422.1861025</v>
      </c>
      <c r="L23" s="4">
        <f t="shared" ref="L23:O23" si="5">L20-L22</f>
        <v>382.9485745749999</v>
      </c>
      <c r="M23" s="4">
        <f t="shared" si="5"/>
        <v>355.79510971374987</v>
      </c>
      <c r="N23" s="4">
        <f t="shared" si="5"/>
        <v>310.19586350715332</v>
      </c>
      <c r="O23" s="4">
        <f t="shared" si="5"/>
        <v>267.49162125545445</v>
      </c>
    </row>
    <row r="24" spans="1:15" x14ac:dyDescent="0.35">
      <c r="A24" t="s">
        <v>30</v>
      </c>
      <c r="B24" s="4">
        <v>215.24700000000001</v>
      </c>
      <c r="C24" s="4">
        <v>227</v>
      </c>
      <c r="D24" s="4">
        <v>242</v>
      </c>
      <c r="E24" s="4">
        <v>258</v>
      </c>
      <c r="F24" s="4">
        <v>273</v>
      </c>
      <c r="J24" t="s">
        <v>54</v>
      </c>
      <c r="K24" s="4">
        <f>K23*Valuation!B10</f>
        <v>105.546525625</v>
      </c>
      <c r="L24" s="4">
        <f>L23*Valuation!B10</f>
        <v>95.737143643749974</v>
      </c>
      <c r="M24" s="4">
        <f>M23*Valuation!B10</f>
        <v>88.948777428437467</v>
      </c>
      <c r="N24" s="4">
        <f>N23*Valuation!B10</f>
        <v>77.54896587678833</v>
      </c>
      <c r="O24" s="4">
        <f>O23*Valuation!B10</f>
        <v>66.872905313863612</v>
      </c>
    </row>
    <row r="25" spans="1:15" x14ac:dyDescent="0.35">
      <c r="A25" t="s">
        <v>31</v>
      </c>
      <c r="B25" s="4">
        <v>87.918000000000006</v>
      </c>
      <c r="C25" s="4">
        <v>100</v>
      </c>
      <c r="D25" s="4">
        <v>98</v>
      </c>
      <c r="E25" s="4">
        <v>126</v>
      </c>
      <c r="F25" s="4">
        <v>133</v>
      </c>
      <c r="J25" t="s">
        <v>28</v>
      </c>
      <c r="K25" s="4">
        <f>K23-K24</f>
        <v>316.63957687499999</v>
      </c>
      <c r="L25" s="4">
        <f t="shared" ref="L25:O25" si="6">L23-L24</f>
        <v>287.21143093124994</v>
      </c>
      <c r="M25" s="4">
        <f t="shared" si="6"/>
        <v>266.84633228531243</v>
      </c>
      <c r="N25" s="4">
        <f t="shared" si="6"/>
        <v>232.646897630365</v>
      </c>
      <c r="O25" s="4">
        <f t="shared" si="6"/>
        <v>200.61871594159084</v>
      </c>
    </row>
    <row r="26" spans="1:15" x14ac:dyDescent="0.35">
      <c r="A26" t="s">
        <v>38</v>
      </c>
      <c r="B26" s="4">
        <f>605.126+42.16-524.26</f>
        <v>123.02599999999995</v>
      </c>
      <c r="C26" s="4">
        <f>863+53-564</f>
        <v>352</v>
      </c>
      <c r="D26" s="4">
        <f>764+52-541</f>
        <v>275</v>
      </c>
      <c r="E26" s="4">
        <f>776+76-572</f>
        <v>280</v>
      </c>
      <c r="F26" s="4">
        <f>883+79-618</f>
        <v>344</v>
      </c>
      <c r="K26" s="4"/>
      <c r="L26" s="6"/>
      <c r="M26" s="6"/>
      <c r="N26" s="6"/>
      <c r="O26" s="6"/>
    </row>
    <row r="27" spans="1:15" ht="15" thickBot="1" x14ac:dyDescent="0.4">
      <c r="A27" t="s">
        <v>32</v>
      </c>
      <c r="B27" s="4">
        <f>B26-(588+60.588-419.999)</f>
        <v>-105.56299999999999</v>
      </c>
      <c r="C27" s="4">
        <f>C26-B26</f>
        <v>228.97400000000005</v>
      </c>
      <c r="D27" s="4">
        <f t="shared" ref="D27:F27" si="7">D26-C26</f>
        <v>-77</v>
      </c>
      <c r="E27" s="4">
        <f t="shared" si="7"/>
        <v>5</v>
      </c>
      <c r="F27" s="4">
        <f t="shared" si="7"/>
        <v>64</v>
      </c>
      <c r="J27" s="8" t="s">
        <v>23</v>
      </c>
      <c r="K27" s="7"/>
      <c r="L27" s="7"/>
      <c r="M27" s="7"/>
      <c r="N27" s="7"/>
      <c r="O27" s="7"/>
    </row>
    <row r="28" spans="1:15" x14ac:dyDescent="0.35">
      <c r="A28" t="s">
        <v>33</v>
      </c>
      <c r="B28" s="4">
        <v>944.048</v>
      </c>
      <c r="C28" s="4">
        <v>598</v>
      </c>
      <c r="D28" s="4">
        <v>866</v>
      </c>
      <c r="E28" s="4">
        <v>862</v>
      </c>
      <c r="F28" s="4">
        <v>784</v>
      </c>
      <c r="J28" t="s">
        <v>31</v>
      </c>
      <c r="K28" s="4">
        <f>K15*K29</f>
        <v>137.8070415</v>
      </c>
      <c r="L28" s="4">
        <f>L15*L29</f>
        <v>146.80774408499997</v>
      </c>
      <c r="M28" s="4">
        <f>M15*M29</f>
        <v>156.88734895327497</v>
      </c>
      <c r="N28" s="4">
        <f>N15*N29</f>
        <v>167.49268667582507</v>
      </c>
      <c r="O28" s="4">
        <f>O15*O29</f>
        <v>178.64821103648592</v>
      </c>
    </row>
    <row r="29" spans="1:15" x14ac:dyDescent="0.35">
      <c r="A29" t="s">
        <v>40</v>
      </c>
      <c r="B29" s="4">
        <v>117.422</v>
      </c>
      <c r="C29" s="4">
        <v>107</v>
      </c>
      <c r="D29" s="4">
        <v>84</v>
      </c>
      <c r="E29" s="4">
        <v>116</v>
      </c>
      <c r="F29" s="4">
        <v>109</v>
      </c>
      <c r="J29" t="s">
        <v>25</v>
      </c>
      <c r="K29" s="12">
        <f>K10</f>
        <v>2.3900000000000001E-2</v>
      </c>
      <c r="L29" s="12">
        <f>L10</f>
        <v>2.46E-2</v>
      </c>
      <c r="M29" s="12">
        <f>M10</f>
        <v>2.5399999999999999E-2</v>
      </c>
      <c r="N29" s="12">
        <f>N10</f>
        <v>2.6200000000000001E-2</v>
      </c>
      <c r="O29" s="12">
        <f>O10</f>
        <v>2.7E-2</v>
      </c>
    </row>
    <row r="30" spans="1:15" x14ac:dyDescent="0.35">
      <c r="A30" t="s">
        <v>34</v>
      </c>
      <c r="B30" s="4">
        <v>61.411000000000001</v>
      </c>
      <c r="C30" s="4">
        <v>59</v>
      </c>
      <c r="D30" s="4">
        <v>61</v>
      </c>
      <c r="E30" s="4">
        <v>69</v>
      </c>
      <c r="F30" s="4">
        <v>77</v>
      </c>
      <c r="J30" t="s">
        <v>38</v>
      </c>
      <c r="K30" s="4">
        <f>K15*K12</f>
        <v>345.95909999999998</v>
      </c>
      <c r="L30" s="4">
        <f>L15*L12</f>
        <v>358.06766849999991</v>
      </c>
      <c r="M30" s="4">
        <f>M15*M12</f>
        <v>370.60003689749988</v>
      </c>
      <c r="N30" s="4">
        <f>N15*N12</f>
        <v>383.57103818891238</v>
      </c>
      <c r="O30" s="4">
        <f>O15*O12</f>
        <v>396.99602452552426</v>
      </c>
    </row>
    <row r="31" spans="1:15" x14ac:dyDescent="0.35">
      <c r="A31" t="s">
        <v>35</v>
      </c>
      <c r="B31" s="6">
        <f>B28-B25-B29</f>
        <v>738.70799999999997</v>
      </c>
      <c r="C31" s="6">
        <f t="shared" ref="C31:E31" si="8">C28-C25-C29</f>
        <v>391</v>
      </c>
      <c r="D31" s="6">
        <f t="shared" si="8"/>
        <v>684</v>
      </c>
      <c r="E31" s="6">
        <f t="shared" si="8"/>
        <v>620</v>
      </c>
      <c r="F31" s="6">
        <f>F28-F25-F29</f>
        <v>542</v>
      </c>
      <c r="J31" t="s">
        <v>32</v>
      </c>
      <c r="K31" s="4">
        <f>K30-F26</f>
        <v>1.9590999999999781</v>
      </c>
      <c r="L31" s="4">
        <f>L30-K30</f>
        <v>12.108568499999933</v>
      </c>
      <c r="M31" s="4">
        <f>M30-L30</f>
        <v>12.532368397499965</v>
      </c>
      <c r="N31" s="4">
        <f>N30-M30</f>
        <v>12.971001291412506</v>
      </c>
      <c r="O31" s="4">
        <f>O30-N30</f>
        <v>13.42498633661188</v>
      </c>
    </row>
    <row r="32" spans="1:15" x14ac:dyDescent="0.35">
      <c r="A32" t="s">
        <v>24</v>
      </c>
      <c r="B32" s="12">
        <f>B31/B7</f>
        <v>0.15385182523938204</v>
      </c>
      <c r="C32" s="12">
        <f>C31/C7</f>
        <v>8.3672159212497321E-2</v>
      </c>
      <c r="D32" s="12">
        <f>D31/D7</f>
        <v>0.13726670680313063</v>
      </c>
      <c r="E32" s="12">
        <f>E31/E7</f>
        <v>0.11305616338439095</v>
      </c>
      <c r="F32" s="12">
        <f>F31/F7</f>
        <v>9.7289535092443008E-2</v>
      </c>
      <c r="J32" t="s">
        <v>40</v>
      </c>
      <c r="K32" s="4">
        <f>K20*K11</f>
        <v>124.689425625</v>
      </c>
      <c r="L32" s="4">
        <f>L20*L11</f>
        <v>114.88004364374997</v>
      </c>
      <c r="M32" s="4">
        <f>M20*M11</f>
        <v>108.09167742843746</v>
      </c>
      <c r="N32" s="4">
        <f>N20*N11</f>
        <v>96.691865876788327</v>
      </c>
      <c r="O32" s="4">
        <f>O20*O11</f>
        <v>86.015805313863609</v>
      </c>
    </row>
    <row r="33" spans="1:15" x14ac:dyDescent="0.35">
      <c r="A33" t="s">
        <v>25</v>
      </c>
      <c r="B33" s="23">
        <f>B25/B7</f>
        <v>1.8310813977100548E-2</v>
      </c>
      <c r="C33" s="23">
        <f>C25/C7</f>
        <v>2.1399529210357371E-2</v>
      </c>
      <c r="D33" s="23">
        <f>D25/D7</f>
        <v>1.9666867348986556E-2</v>
      </c>
      <c r="E33" s="23">
        <f>E25/E7</f>
        <v>2.2975929978118162E-2</v>
      </c>
      <c r="F33" s="23">
        <f>F25/F7</f>
        <v>2.3873631304972179E-2</v>
      </c>
      <c r="J33" t="s">
        <v>35</v>
      </c>
      <c r="K33" s="6">
        <f>K20-K32+K19-K28-K31</f>
        <v>513.95240787500006</v>
      </c>
      <c r="L33" s="6">
        <f>L20-L32+L19-L28-L31</f>
        <v>472.17795314624993</v>
      </c>
      <c r="M33" s="6">
        <f>M20-M32+M19-M28-M31</f>
        <v>448.24701081172486</v>
      </c>
      <c r="N33" s="6">
        <f>N20-N32+N19-N28-N31</f>
        <v>410.07588957777551</v>
      </c>
      <c r="O33" s="6">
        <f>O20-O32+O19-O28-O31</f>
        <v>373.64613757577428</v>
      </c>
    </row>
    <row r="34" spans="1:15" x14ac:dyDescent="0.35">
      <c r="A34" t="s">
        <v>47</v>
      </c>
      <c r="B34" s="12">
        <f>B24/B7</f>
        <v>4.4829816148330967E-2</v>
      </c>
      <c r="C34" s="12">
        <f>C24/C7</f>
        <v>4.8576931307511236E-2</v>
      </c>
      <c r="D34" s="12">
        <f>D24/D7</f>
        <v>4.856512141280353E-2</v>
      </c>
      <c r="E34" s="12">
        <f>E24/E7</f>
        <v>4.7045951859956234E-2</v>
      </c>
      <c r="F34" s="12">
        <f>F24/F7</f>
        <v>4.9003769520732363E-2</v>
      </c>
      <c r="J34" t="s">
        <v>24</v>
      </c>
      <c r="K34" s="12">
        <f>K33/K15</f>
        <v>8.9135231512915844E-2</v>
      </c>
      <c r="L34" s="12">
        <f>L33/L15</f>
        <v>7.9121014492753633E-2</v>
      </c>
      <c r="M34" s="12">
        <f>M33/M15</f>
        <v>7.2571014492753619E-2</v>
      </c>
      <c r="N34" s="12">
        <f>N33/N15</f>
        <v>6.4146014492753631E-2</v>
      </c>
      <c r="O34" s="12">
        <f>O33/O15</f>
        <v>5.6471014492753629E-2</v>
      </c>
    </row>
    <row r="35" spans="1:15" x14ac:dyDescent="0.35">
      <c r="A35" s="1" t="s">
        <v>49</v>
      </c>
      <c r="B35" s="15">
        <f>B26/B7</f>
        <v>2.5622809894979084E-2</v>
      </c>
      <c r="C35" s="15">
        <f>C26/C7</f>
        <v>7.5326342820457956E-2</v>
      </c>
      <c r="D35" s="15">
        <f>D26/D7</f>
        <v>5.518763796909492E-2</v>
      </c>
      <c r="E35" s="15">
        <f>E26/E7</f>
        <v>5.1057622173595912E-2</v>
      </c>
      <c r="F35" s="15">
        <f>F26/F7</f>
        <v>6.1748339615867891E-2</v>
      </c>
    </row>
    <row r="36" spans="1:15" ht="15" thickBot="1" x14ac:dyDescent="0.4">
      <c r="J36" s="8" t="s">
        <v>56</v>
      </c>
      <c r="K36" s="7"/>
      <c r="L36" s="7"/>
      <c r="M36" s="7"/>
      <c r="N36" s="7"/>
      <c r="O36" s="7"/>
    </row>
    <row r="37" spans="1:15" ht="14.5" customHeight="1" x14ac:dyDescent="0.35">
      <c r="G37" s="9"/>
      <c r="J37" s="1" t="s">
        <v>55</v>
      </c>
      <c r="K37" s="10" t="s">
        <v>152</v>
      </c>
      <c r="L37" s="10"/>
      <c r="M37" s="10"/>
      <c r="N37" s="10"/>
      <c r="O37" s="10"/>
    </row>
    <row r="38" spans="1:15" ht="14.5" customHeight="1" x14ac:dyDescent="0.35">
      <c r="G38" s="9"/>
      <c r="J38" s="1" t="s">
        <v>14</v>
      </c>
      <c r="K38" s="11" t="s">
        <v>153</v>
      </c>
      <c r="L38" s="11"/>
      <c r="M38" s="11"/>
      <c r="N38" s="11"/>
      <c r="O38" s="11"/>
    </row>
    <row r="39" spans="1:15" ht="14.5" customHeight="1" x14ac:dyDescent="0.35">
      <c r="G39" s="9"/>
      <c r="J39" s="1" t="s">
        <v>47</v>
      </c>
      <c r="K39" s="11" t="s">
        <v>156</v>
      </c>
      <c r="L39" s="11"/>
      <c r="M39" s="11"/>
      <c r="N39" s="11"/>
      <c r="O39" s="11"/>
    </row>
    <row r="40" spans="1:15" ht="14.5" customHeight="1" x14ac:dyDescent="0.35">
      <c r="G40" s="9"/>
      <c r="J40" s="1" t="s">
        <v>25</v>
      </c>
      <c r="K40" s="11" t="s">
        <v>57</v>
      </c>
      <c r="L40" s="11"/>
      <c r="M40" s="11"/>
      <c r="N40" s="11"/>
      <c r="O40" s="11"/>
    </row>
    <row r="41" spans="1:15" ht="14.5" customHeight="1" x14ac:dyDescent="0.35">
      <c r="G41" s="9"/>
      <c r="J41" s="1" t="s">
        <v>48</v>
      </c>
      <c r="K41" s="11" t="s">
        <v>58</v>
      </c>
      <c r="L41" s="11"/>
      <c r="M41" s="11"/>
      <c r="N41" s="11"/>
      <c r="O41" s="11"/>
    </row>
    <row r="42" spans="1:15" ht="14.5" customHeight="1" x14ac:dyDescent="0.35">
      <c r="A42" s="9"/>
      <c r="B42" s="9"/>
      <c r="C42" s="9"/>
      <c r="D42" s="9"/>
      <c r="E42" s="9"/>
      <c r="F42" s="9"/>
      <c r="G42" s="9"/>
      <c r="J42" s="1" t="s">
        <v>49</v>
      </c>
      <c r="K42" s="11" t="s">
        <v>59</v>
      </c>
      <c r="L42" s="11"/>
      <c r="M42" s="11"/>
      <c r="N42" s="11"/>
      <c r="O42" s="11"/>
    </row>
    <row r="43" spans="1:15" x14ac:dyDescent="0.35">
      <c r="A43" s="9"/>
      <c r="B43" s="9"/>
      <c r="C43" s="9"/>
      <c r="D43" s="9"/>
      <c r="E43" s="9"/>
      <c r="F43" s="9"/>
      <c r="G43" s="9"/>
    </row>
    <row r="44" spans="1:15" x14ac:dyDescent="0.35">
      <c r="A44" s="9"/>
      <c r="B44" s="9"/>
      <c r="C44" s="9"/>
      <c r="D44" s="9"/>
      <c r="E44" s="9"/>
      <c r="F44" s="9"/>
      <c r="G44" s="9"/>
    </row>
    <row r="45" spans="1:15" x14ac:dyDescent="0.35">
      <c r="A45" s="9"/>
      <c r="B45" s="9"/>
      <c r="C45" s="9"/>
      <c r="D45" s="9"/>
      <c r="E45" s="9"/>
      <c r="F45" s="9"/>
      <c r="G45" s="9"/>
    </row>
    <row r="46" spans="1:15" x14ac:dyDescent="0.35">
      <c r="A46" s="9"/>
      <c r="B46" s="9"/>
      <c r="C46" s="9"/>
      <c r="D46" s="9"/>
      <c r="E46" s="9"/>
      <c r="F46" s="9"/>
      <c r="G46" s="9"/>
    </row>
    <row r="47" spans="1:15" x14ac:dyDescent="0.35">
      <c r="A47" s="9"/>
      <c r="B47" s="9"/>
      <c r="C47" s="9"/>
      <c r="D47" s="9"/>
      <c r="E47" s="9"/>
      <c r="F47" s="9"/>
      <c r="G47" s="9"/>
    </row>
    <row r="48" spans="1:15" x14ac:dyDescent="0.35">
      <c r="A48" s="9"/>
      <c r="B48" s="9"/>
      <c r="C48" s="9"/>
      <c r="D48" s="9"/>
      <c r="E48" s="9"/>
      <c r="F48" s="9"/>
      <c r="G48" s="9"/>
    </row>
  </sheetData>
  <mergeCells count="6">
    <mergeCell ref="K42:O42"/>
    <mergeCell ref="K38:O38"/>
    <mergeCell ref="K39:O39"/>
    <mergeCell ref="K40:O40"/>
    <mergeCell ref="K41:O41"/>
    <mergeCell ref="K37:O3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FB27-615C-43F2-AEBD-8DF13018F018}">
  <dimension ref="A1:O42"/>
  <sheetViews>
    <sheetView showGridLines="0" zoomScale="78" zoomScaleNormal="72" workbookViewId="0">
      <selection activeCell="K30" sqref="K30"/>
    </sheetView>
  </sheetViews>
  <sheetFormatPr defaultRowHeight="14.5" x14ac:dyDescent="0.35"/>
  <cols>
    <col min="1" max="1" width="30.26953125" bestFit="1" customWidth="1"/>
    <col min="2" max="2" width="12.7265625" bestFit="1" customWidth="1"/>
    <col min="3" max="3" width="11.6328125" bestFit="1" customWidth="1"/>
    <col min="4" max="6" width="12.7265625" bestFit="1" customWidth="1"/>
    <col min="10" max="10" width="29.81640625" bestFit="1" customWidth="1"/>
    <col min="11" max="15" width="17.6328125" customWidth="1"/>
    <col min="16" max="17" width="36.81640625" customWidth="1"/>
  </cols>
  <sheetData>
    <row r="1" spans="1:15" x14ac:dyDescent="0.35">
      <c r="A1" s="3" t="s">
        <v>165</v>
      </c>
      <c r="J1" s="3" t="s">
        <v>166</v>
      </c>
    </row>
    <row r="3" spans="1:15" ht="15" thickBot="1" x14ac:dyDescent="0.4">
      <c r="A3" s="8" t="s">
        <v>18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J3" s="8" t="s">
        <v>18</v>
      </c>
      <c r="K3" s="8" t="s">
        <v>41</v>
      </c>
      <c r="L3" s="8" t="s">
        <v>42</v>
      </c>
      <c r="M3" s="8" t="s">
        <v>43</v>
      </c>
      <c r="N3" s="8" t="s">
        <v>44</v>
      </c>
      <c r="O3" s="8" t="s">
        <v>45</v>
      </c>
    </row>
    <row r="4" spans="1:15" x14ac:dyDescent="0.35">
      <c r="A4" t="s">
        <v>9</v>
      </c>
      <c r="B4" s="2">
        <v>44465</v>
      </c>
      <c r="C4" s="2">
        <v>44829</v>
      </c>
      <c r="D4" s="2">
        <v>45200</v>
      </c>
      <c r="E4" s="2">
        <v>45564</v>
      </c>
      <c r="F4" s="2">
        <v>45928</v>
      </c>
      <c r="J4" t="s">
        <v>9</v>
      </c>
      <c r="K4" s="2">
        <v>46292</v>
      </c>
      <c r="L4" s="2">
        <v>46656</v>
      </c>
      <c r="M4" s="2">
        <v>47027</v>
      </c>
      <c r="N4" s="2">
        <v>47391</v>
      </c>
      <c r="O4" s="2">
        <v>47755</v>
      </c>
    </row>
    <row r="6" spans="1:15" ht="15" thickBot="1" x14ac:dyDescent="0.4">
      <c r="A6" s="8" t="s">
        <v>10</v>
      </c>
      <c r="B6" s="7"/>
      <c r="C6" s="7"/>
      <c r="D6" s="7"/>
      <c r="E6" s="7"/>
      <c r="F6" s="7"/>
      <c r="J6" s="8" t="s">
        <v>46</v>
      </c>
      <c r="K6" s="7"/>
      <c r="L6" s="7"/>
      <c r="M6" s="7"/>
      <c r="N6" s="7"/>
      <c r="O6" s="7"/>
    </row>
    <row r="7" spans="1:15" x14ac:dyDescent="0.35">
      <c r="A7" t="s">
        <v>26</v>
      </c>
      <c r="B7" s="4">
        <v>1544.694</v>
      </c>
      <c r="C7" s="4">
        <v>1586.1</v>
      </c>
      <c r="D7" s="4">
        <v>1771.723</v>
      </c>
      <c r="E7" s="4">
        <v>1757.021</v>
      </c>
      <c r="F7" s="4">
        <v>1549.0730000000001</v>
      </c>
      <c r="J7" s="1" t="s">
        <v>12</v>
      </c>
      <c r="K7" s="12">
        <v>-0.05</v>
      </c>
      <c r="L7" s="12">
        <v>1.4999999999999999E-2</v>
      </c>
      <c r="M7" s="12">
        <v>2.5000000000000001E-2</v>
      </c>
      <c r="N7" s="12">
        <v>3.5000000000000003E-2</v>
      </c>
      <c r="O7" s="12">
        <v>3.5000000000000003E-2</v>
      </c>
    </row>
    <row r="8" spans="1:15" x14ac:dyDescent="0.35">
      <c r="A8" t="s">
        <v>12</v>
      </c>
      <c r="B8" s="12">
        <f>(B7/1476.64)-1</f>
        <v>4.6087062520316247E-2</v>
      </c>
      <c r="C8" s="12">
        <f>(C7/B7)-1</f>
        <v>2.6805309012658762E-2</v>
      </c>
      <c r="D8" s="12">
        <f>(D7/C7)-1</f>
        <v>0.11703108252947492</v>
      </c>
      <c r="E8" s="12">
        <f>(E7/D7)-1</f>
        <v>-8.2981368983752191E-3</v>
      </c>
      <c r="F8" s="12">
        <f>(F7/E7)-1</f>
        <v>-0.11835259794845931</v>
      </c>
      <c r="J8" s="1" t="s">
        <v>14</v>
      </c>
      <c r="K8" s="12">
        <v>3.5000000000000003E-2</v>
      </c>
      <c r="L8" s="12">
        <v>0.04</v>
      </c>
      <c r="M8" s="12">
        <v>0.05</v>
      </c>
      <c r="N8" s="12">
        <v>6.5000000000000002E-2</v>
      </c>
      <c r="O8" s="12">
        <v>6.5000000000000002E-2</v>
      </c>
    </row>
    <row r="9" spans="1:15" x14ac:dyDescent="0.35">
      <c r="A9" t="s">
        <v>36</v>
      </c>
      <c r="B9" s="4">
        <f>B11+B24</f>
        <v>179.20600000000002</v>
      </c>
      <c r="C9" s="4">
        <f>C11+C24</f>
        <v>173.87700000000001</v>
      </c>
      <c r="D9" s="4">
        <f>D11+D24</f>
        <v>171.69800000000001</v>
      </c>
      <c r="E9" s="4">
        <f>E11+E24</f>
        <v>115.506</v>
      </c>
      <c r="F9" s="4">
        <f>F11+F24</f>
        <v>22.93</v>
      </c>
      <c r="J9" s="1" t="s">
        <v>47</v>
      </c>
      <c r="K9" s="12">
        <v>4.4999999999999998E-2</v>
      </c>
      <c r="L9" s="12">
        <v>4.2999999999999997E-2</v>
      </c>
      <c r="M9" s="12">
        <v>4.1000000000000002E-2</v>
      </c>
      <c r="N9" s="12">
        <v>0.04</v>
      </c>
      <c r="O9" s="12">
        <v>0.04</v>
      </c>
    </row>
    <row r="10" spans="1:15" x14ac:dyDescent="0.35">
      <c r="A10" t="s">
        <v>14</v>
      </c>
      <c r="B10" s="12">
        <f>B9/B7</f>
        <v>0.11601391602479198</v>
      </c>
      <c r="C10" s="12">
        <f t="shared" ref="C10:F10" si="0">C9/C7</f>
        <v>0.10962549650085116</v>
      </c>
      <c r="D10" s="12">
        <f t="shared" si="0"/>
        <v>9.6910182912340145E-2</v>
      </c>
      <c r="E10" s="12">
        <f t="shared" si="0"/>
        <v>6.5739680971371436E-2</v>
      </c>
      <c r="F10" s="12">
        <f>F9/F7</f>
        <v>1.4802401177994839E-2</v>
      </c>
      <c r="J10" s="1" t="s">
        <v>25</v>
      </c>
      <c r="K10" s="12">
        <v>0.03</v>
      </c>
      <c r="L10" s="12">
        <v>3.4000000000000002E-2</v>
      </c>
      <c r="M10" s="12">
        <v>3.5999999999999997E-2</v>
      </c>
      <c r="N10" s="12">
        <v>3.7999999999999999E-2</v>
      </c>
      <c r="O10" s="12">
        <v>0.04</v>
      </c>
    </row>
    <row r="11" spans="1:15" x14ac:dyDescent="0.35">
      <c r="A11" t="s">
        <v>27</v>
      </c>
      <c r="B11" s="4">
        <v>54.094999999999999</v>
      </c>
      <c r="C11" s="4">
        <v>55.645000000000003</v>
      </c>
      <c r="D11" s="4">
        <v>25.172999999999998</v>
      </c>
      <c r="E11" s="4">
        <v>-17.725999999999999</v>
      </c>
      <c r="F11" s="4">
        <v>-49.985999999999997</v>
      </c>
      <c r="J11" s="1" t="s">
        <v>48</v>
      </c>
      <c r="K11" s="12">
        <v>0.25</v>
      </c>
      <c r="L11" s="12">
        <v>0.25</v>
      </c>
      <c r="M11" s="12">
        <v>0.25</v>
      </c>
      <c r="N11" s="12">
        <v>0.25</v>
      </c>
      <c r="O11" s="12">
        <v>0.25</v>
      </c>
    </row>
    <row r="12" spans="1:15" x14ac:dyDescent="0.35">
      <c r="A12" t="s">
        <v>16</v>
      </c>
      <c r="B12" s="12">
        <f t="shared" ref="B12:F12" si="1">B11/B7</f>
        <v>3.5019880960241966E-2</v>
      </c>
      <c r="C12" s="12">
        <f t="shared" si="1"/>
        <v>3.5082907761175217E-2</v>
      </c>
      <c r="D12" s="12">
        <f t="shared" si="1"/>
        <v>1.4208202975295799E-2</v>
      </c>
      <c r="E12" s="12">
        <f t="shared" si="1"/>
        <v>-1.0088667124638805E-2</v>
      </c>
      <c r="F12" s="12">
        <f t="shared" si="1"/>
        <v>-3.226833080171173E-2</v>
      </c>
      <c r="J12" s="1" t="s">
        <v>49</v>
      </c>
      <c r="K12" s="12">
        <v>-0.02</v>
      </c>
      <c r="L12" s="12">
        <v>-0.02</v>
      </c>
      <c r="M12" s="12">
        <v>-0.02</v>
      </c>
      <c r="N12" s="12">
        <v>-0.02</v>
      </c>
      <c r="O12" s="12">
        <v>-0.02</v>
      </c>
    </row>
    <row r="13" spans="1:15" x14ac:dyDescent="0.35">
      <c r="A13" t="s">
        <v>28</v>
      </c>
      <c r="B13" s="4">
        <v>37.084000000000003</v>
      </c>
      <c r="C13" s="4">
        <v>25.129000000000001</v>
      </c>
      <c r="D13" s="4">
        <v>2.0920000000000001</v>
      </c>
      <c r="E13" s="4">
        <v>-57.033999999999999</v>
      </c>
      <c r="F13" s="4">
        <v>-120.49</v>
      </c>
    </row>
    <row r="14" spans="1:15" ht="15" thickBot="1" x14ac:dyDescent="0.4">
      <c r="A14" t="s">
        <v>17</v>
      </c>
      <c r="B14" s="12">
        <f t="shared" ref="B14:F14" si="2" xml:space="preserve"> B13/B7</f>
        <v>2.4007343849331973E-2</v>
      </c>
      <c r="C14" s="12">
        <f t="shared" si="2"/>
        <v>1.5843263350356223E-2</v>
      </c>
      <c r="D14" s="12">
        <f t="shared" si="2"/>
        <v>1.180771486287642E-3</v>
      </c>
      <c r="E14" s="12">
        <f xml:space="preserve"> E13/E7</f>
        <v>-3.2460625114896183E-2</v>
      </c>
      <c r="F14" s="12">
        <f t="shared" si="2"/>
        <v>-7.7782002526672389E-2</v>
      </c>
      <c r="J14" s="8" t="s">
        <v>10</v>
      </c>
      <c r="K14" s="7"/>
      <c r="L14" s="7"/>
      <c r="M14" s="7"/>
      <c r="N14" s="7"/>
      <c r="O14" s="7"/>
    </row>
    <row r="15" spans="1:15" x14ac:dyDescent="0.35">
      <c r="J15" t="s">
        <v>26</v>
      </c>
      <c r="K15" s="4">
        <f>F7*(1+K16)</f>
        <v>1471.6193499999999</v>
      </c>
      <c r="L15" s="4">
        <f>K15*(1+L16)</f>
        <v>1493.6936402499998</v>
      </c>
      <c r="M15" s="4">
        <f>L15*(1+M16)</f>
        <v>1531.0359812562497</v>
      </c>
      <c r="N15" s="4">
        <f>M15*(1+N16)</f>
        <v>1584.6222406002182</v>
      </c>
      <c r="O15" s="4">
        <f>N15*(1+O16)</f>
        <v>1640.0840190212257</v>
      </c>
    </row>
    <row r="16" spans="1:15" ht="15" thickBot="1" x14ac:dyDescent="0.4">
      <c r="A16" s="8" t="s">
        <v>19</v>
      </c>
      <c r="B16" s="7"/>
      <c r="C16" s="7"/>
      <c r="D16" s="7"/>
      <c r="E16" s="7"/>
      <c r="F16" s="7"/>
      <c r="J16" t="s">
        <v>12</v>
      </c>
      <c r="K16" s="12">
        <f>K7</f>
        <v>-0.05</v>
      </c>
      <c r="L16" s="12">
        <f>L7</f>
        <v>1.4999999999999999E-2</v>
      </c>
      <c r="M16" s="12">
        <f>M7</f>
        <v>2.5000000000000001E-2</v>
      </c>
      <c r="N16" s="12">
        <f>N7</f>
        <v>3.5000000000000003E-2</v>
      </c>
      <c r="O16" s="12">
        <f>O7</f>
        <v>3.5000000000000003E-2</v>
      </c>
    </row>
    <row r="17" spans="1:15" x14ac:dyDescent="0.35">
      <c r="A17" t="s">
        <v>37</v>
      </c>
      <c r="B17" s="4">
        <v>71.611000000000004</v>
      </c>
      <c r="C17" s="4">
        <v>42.771000000000001</v>
      </c>
      <c r="D17" s="4">
        <v>41.863999999999997</v>
      </c>
      <c r="E17" s="4">
        <v>46.72</v>
      </c>
      <c r="F17" s="4">
        <v>30.635999999999999</v>
      </c>
      <c r="J17" t="s">
        <v>36</v>
      </c>
      <c r="K17" s="4">
        <f>K15*K18</f>
        <v>51.506677250000003</v>
      </c>
      <c r="L17" s="4">
        <f>L15*L18</f>
        <v>59.747745609999996</v>
      </c>
      <c r="M17" s="4">
        <f>M15*M18</f>
        <v>76.551799062812492</v>
      </c>
      <c r="N17" s="4">
        <f>N15*N18</f>
        <v>103.00044563901419</v>
      </c>
      <c r="O17" s="4">
        <f>O15*O18</f>
        <v>106.60546123637967</v>
      </c>
    </row>
    <row r="18" spans="1:15" x14ac:dyDescent="0.35">
      <c r="A18" t="s">
        <v>29</v>
      </c>
      <c r="B18" s="4">
        <v>89.608999999999995</v>
      </c>
      <c r="C18" s="4">
        <v>99.126000000000005</v>
      </c>
      <c r="D18" s="4">
        <v>108.376</v>
      </c>
      <c r="E18" s="4">
        <v>228.57300000000001</v>
      </c>
      <c r="F18" s="4">
        <v>78.094999999999999</v>
      </c>
      <c r="J18" t="s">
        <v>14</v>
      </c>
      <c r="K18" s="12">
        <f>K8</f>
        <v>3.5000000000000003E-2</v>
      </c>
      <c r="L18" s="12">
        <f>L8</f>
        <v>0.04</v>
      </c>
      <c r="M18" s="12">
        <f>M8</f>
        <v>0.05</v>
      </c>
      <c r="N18" s="12">
        <f>N8</f>
        <v>6.5000000000000002E-2</v>
      </c>
      <c r="O18" s="12">
        <f>O8</f>
        <v>6.5000000000000002E-2</v>
      </c>
    </row>
    <row r="19" spans="1:15" x14ac:dyDescent="0.35">
      <c r="A19" s="18" t="s">
        <v>39</v>
      </c>
      <c r="B19" s="4">
        <v>350.93200000000002</v>
      </c>
      <c r="C19" s="4">
        <v>394.47500000000002</v>
      </c>
      <c r="D19" s="4">
        <v>411.113</v>
      </c>
      <c r="E19" s="4">
        <v>502.39600000000002</v>
      </c>
      <c r="F19" s="4">
        <v>277.495</v>
      </c>
      <c r="J19" t="s">
        <v>30</v>
      </c>
      <c r="K19" s="4">
        <f>K15*K9</f>
        <v>66.222870749999998</v>
      </c>
      <c r="L19" s="4">
        <f>L15*L9</f>
        <v>64.228826530749984</v>
      </c>
      <c r="M19" s="4">
        <f>M15*M9</f>
        <v>62.772475231506242</v>
      </c>
      <c r="N19" s="4">
        <f>N15*N9</f>
        <v>63.384889624008729</v>
      </c>
      <c r="O19" s="4">
        <f>O15*O9</f>
        <v>65.603360760849029</v>
      </c>
    </row>
    <row r="20" spans="1:15" x14ac:dyDescent="0.35">
      <c r="A20" t="s">
        <v>365</v>
      </c>
      <c r="B20" s="4">
        <f>B18-B17</f>
        <v>17.99799999999999</v>
      </c>
      <c r="C20" s="4">
        <f t="shared" ref="C20:F20" si="3">C18-C17</f>
        <v>56.355000000000004</v>
      </c>
      <c r="D20" s="4">
        <f t="shared" si="3"/>
        <v>66.512</v>
      </c>
      <c r="E20" s="4">
        <f t="shared" si="3"/>
        <v>181.85300000000001</v>
      </c>
      <c r="F20" s="4">
        <f>F18-F17</f>
        <v>47.459000000000003</v>
      </c>
      <c r="J20" t="s">
        <v>27</v>
      </c>
      <c r="K20" s="4">
        <f>K17-K19</f>
        <v>-14.716193499999996</v>
      </c>
      <c r="L20" s="4">
        <f>L17-L19</f>
        <v>-4.4810809207499886</v>
      </c>
      <c r="M20" s="4">
        <f>M17-M19</f>
        <v>13.77932383130625</v>
      </c>
      <c r="N20" s="4">
        <f>N17-N19</f>
        <v>39.61555601500546</v>
      </c>
      <c r="O20" s="4">
        <f>O17-O19</f>
        <v>41.002100475530639</v>
      </c>
    </row>
    <row r="21" spans="1:15" x14ac:dyDescent="0.35">
      <c r="A21" t="s">
        <v>22</v>
      </c>
      <c r="B21" s="25">
        <f>B20/B9</f>
        <v>0.10043190518174608</v>
      </c>
      <c r="C21" s="25">
        <f t="shared" ref="C21:F21" si="4">C20/C9</f>
        <v>0.32410842147034974</v>
      </c>
      <c r="D21" s="25">
        <f t="shared" si="4"/>
        <v>0.38737783783154139</v>
      </c>
      <c r="E21" s="25">
        <f t="shared" si="4"/>
        <v>1.5744030613128324</v>
      </c>
      <c r="F21" s="25">
        <f t="shared" si="4"/>
        <v>2.0697339729611866</v>
      </c>
      <c r="J21" t="s">
        <v>16</v>
      </c>
      <c r="K21" s="12">
        <f>K20/K15</f>
        <v>-9.9999999999999967E-3</v>
      </c>
      <c r="L21" s="12">
        <f>L20/L15</f>
        <v>-2.9999999999999927E-3</v>
      </c>
      <c r="M21" s="12">
        <f>M20/M15</f>
        <v>9.0000000000000028E-3</v>
      </c>
      <c r="N21" s="12">
        <f>N20/N15</f>
        <v>2.5000000000000001E-2</v>
      </c>
      <c r="O21" s="12">
        <f>O20/O15</f>
        <v>2.4999999999999998E-2</v>
      </c>
    </row>
    <row r="22" spans="1:15" x14ac:dyDescent="0.35">
      <c r="B22" s="25"/>
      <c r="C22" s="25"/>
      <c r="D22" s="25"/>
      <c r="E22" s="25"/>
      <c r="F22" s="25"/>
      <c r="J22" t="s">
        <v>298</v>
      </c>
      <c r="K22" s="4">
        <f>Valuation!K15*'Poundland Operating Model'!F18</f>
        <v>5.0761750000000001</v>
      </c>
      <c r="L22" s="4">
        <f>Valuation!K15*'Poundland Operating Model'!F18</f>
        <v>5.0761750000000001</v>
      </c>
      <c r="M22" s="4">
        <f>Valuation!K15*'Poundland Operating Model'!F18</f>
        <v>5.0761750000000001</v>
      </c>
      <c r="N22" s="4">
        <f>Valuation!K15*'Poundland Operating Model'!F18</f>
        <v>5.0761750000000001</v>
      </c>
      <c r="O22" s="4">
        <f>Valuation!K15*'Poundland Operating Model'!F18</f>
        <v>5.0761750000000001</v>
      </c>
    </row>
    <row r="23" spans="1:15" ht="15" thickBot="1" x14ac:dyDescent="0.4">
      <c r="A23" s="8" t="s">
        <v>23</v>
      </c>
      <c r="B23" s="7"/>
      <c r="C23" s="7"/>
      <c r="D23" s="7"/>
      <c r="E23" s="7"/>
      <c r="F23" s="7"/>
      <c r="J23" t="s">
        <v>299</v>
      </c>
      <c r="K23" s="4">
        <f>K20-K22</f>
        <v>-19.792368499999995</v>
      </c>
      <c r="L23" s="4">
        <f t="shared" ref="L23:O23" si="5">L20-L22</f>
        <v>-9.5572559207499879</v>
      </c>
      <c r="M23" s="4">
        <f t="shared" si="5"/>
        <v>8.7031488313062511</v>
      </c>
      <c r="N23" s="4">
        <f t="shared" si="5"/>
        <v>34.539381015005461</v>
      </c>
      <c r="O23" s="4">
        <f t="shared" si="5"/>
        <v>35.92592547553064</v>
      </c>
    </row>
    <row r="24" spans="1:15" x14ac:dyDescent="0.35">
      <c r="A24" t="s">
        <v>30</v>
      </c>
      <c r="B24" s="4">
        <v>125.111</v>
      </c>
      <c r="C24" s="4">
        <v>118.232</v>
      </c>
      <c r="D24" s="4">
        <v>146.52500000000001</v>
      </c>
      <c r="E24" s="4">
        <v>133.232</v>
      </c>
      <c r="F24" s="4">
        <v>72.915999999999997</v>
      </c>
      <c r="J24" t="s">
        <v>54</v>
      </c>
      <c r="K24" s="4">
        <f>K23*Valuation!B10</f>
        <v>-4.9480921249999987</v>
      </c>
      <c r="L24" s="4">
        <f>L23*Valuation!B10</f>
        <v>-2.389313980187497</v>
      </c>
      <c r="M24" s="4">
        <f>M23*Valuation!B10</f>
        <v>2.1757872078265628</v>
      </c>
      <c r="N24" s="4">
        <f>N23*Valuation!B10</f>
        <v>8.6348452537513651</v>
      </c>
      <c r="O24" s="4">
        <f>O23*Valuation!B10</f>
        <v>8.98148136888266</v>
      </c>
    </row>
    <row r="25" spans="1:15" x14ac:dyDescent="0.35">
      <c r="A25" t="s">
        <v>31</v>
      </c>
      <c r="B25" s="4">
        <f>63.469+7.536</f>
        <v>71.004999999999995</v>
      </c>
      <c r="C25" s="4">
        <f>125.075+1.601</f>
        <v>126.676</v>
      </c>
      <c r="D25" s="4">
        <f>137.545+1.423</f>
        <v>138.96799999999999</v>
      </c>
      <c r="E25" s="4">
        <f>120.756+1.813</f>
        <v>122.569</v>
      </c>
      <c r="F25" s="4">
        <f>38.027+0.237</f>
        <v>38.264000000000003</v>
      </c>
      <c r="J25" t="s">
        <v>28</v>
      </c>
      <c r="K25" s="4">
        <f>K23-K24</f>
        <v>-14.844276374999996</v>
      </c>
      <c r="L25" s="4">
        <f t="shared" ref="L25:O25" si="6">L23-L24</f>
        <v>-7.1679419405624909</v>
      </c>
      <c r="M25" s="4">
        <f t="shared" si="6"/>
        <v>6.5273616234796883</v>
      </c>
      <c r="N25" s="4">
        <f t="shared" si="6"/>
        <v>25.904535761254095</v>
      </c>
      <c r="O25" s="4">
        <f t="shared" si="6"/>
        <v>26.944444106647978</v>
      </c>
    </row>
    <row r="26" spans="1:15" x14ac:dyDescent="0.35">
      <c r="A26" t="s">
        <v>38</v>
      </c>
      <c r="B26" s="4">
        <f>191.541+86.944-275.38</f>
        <v>3.1050000000000182</v>
      </c>
      <c r="C26" s="4">
        <f>215.088+131.578-325.855</f>
        <v>20.810999999999979</v>
      </c>
      <c r="D26" s="4">
        <f>217.333+136.004-416.915</f>
        <v>-63.578000000000031</v>
      </c>
      <c r="E26" s="4">
        <f>230.375+131.968-385.499</f>
        <v>-23.156000000000063</v>
      </c>
      <c r="F26" s="4">
        <f>164.922+58.085-255.27</f>
        <v>-32.263000000000005</v>
      </c>
      <c r="K26" s="6"/>
      <c r="L26" s="6"/>
      <c r="M26" s="6"/>
      <c r="N26" s="6"/>
      <c r="O26" s="6"/>
    </row>
    <row r="27" spans="1:15" ht="15" thickBot="1" x14ac:dyDescent="0.4">
      <c r="A27" t="s">
        <v>32</v>
      </c>
      <c r="B27" s="4">
        <f>B26-(-21.29)</f>
        <v>24.395000000000017</v>
      </c>
      <c r="C27" s="4">
        <f t="shared" ref="C27:F27" si="7">C26-B26</f>
        <v>17.70599999999996</v>
      </c>
      <c r="D27" s="4">
        <f>D26-C26</f>
        <v>-84.38900000000001</v>
      </c>
      <c r="E27" s="4">
        <f>E26-D26</f>
        <v>40.421999999999969</v>
      </c>
      <c r="F27" s="4">
        <f t="shared" si="7"/>
        <v>-9.1069999999999425</v>
      </c>
      <c r="J27" s="8" t="s">
        <v>23</v>
      </c>
      <c r="K27" s="7"/>
      <c r="L27" s="7"/>
      <c r="M27" s="7"/>
      <c r="N27" s="7"/>
      <c r="O27" s="7"/>
    </row>
    <row r="28" spans="1:15" x14ac:dyDescent="0.35">
      <c r="A28" t="s">
        <v>33</v>
      </c>
      <c r="B28" s="4">
        <f>B13+B24-B27</f>
        <v>137.79999999999998</v>
      </c>
      <c r="C28" s="4">
        <f>C13+C24-C27</f>
        <v>125.65500000000003</v>
      </c>
      <c r="D28" s="4">
        <f>D13+D24-D27</f>
        <v>233.00600000000003</v>
      </c>
      <c r="E28" s="4">
        <f>E13+E24-E27</f>
        <v>35.776000000000039</v>
      </c>
      <c r="F28" s="4">
        <f>F13+F24-F27</f>
        <v>-38.467000000000056</v>
      </c>
      <c r="J28" t="s">
        <v>31</v>
      </c>
      <c r="K28" s="4">
        <f>K15*K29</f>
        <v>44.148580499999994</v>
      </c>
      <c r="L28" s="4">
        <f>L15*L29</f>
        <v>50.785583768499997</v>
      </c>
      <c r="M28" s="4">
        <f>M15*M29</f>
        <v>55.117295325224987</v>
      </c>
      <c r="N28" s="4">
        <f>N15*N29</f>
        <v>60.215645142808292</v>
      </c>
      <c r="O28" s="4">
        <f>O15*O29</f>
        <v>65.603360760849029</v>
      </c>
    </row>
    <row r="29" spans="1:15" x14ac:dyDescent="0.35">
      <c r="A29" t="s">
        <v>40</v>
      </c>
      <c r="B29" s="4">
        <f>5.634-(0-0.013)</f>
        <v>5.6470000000000002</v>
      </c>
      <c r="C29" s="4">
        <f>4.556</f>
        <v>4.556</v>
      </c>
      <c r="D29" s="4">
        <v>5.93</v>
      </c>
      <c r="E29" s="4">
        <v>-3.1240000000000001</v>
      </c>
      <c r="F29" s="4">
        <v>-0.77700000000000002</v>
      </c>
      <c r="J29" t="s">
        <v>25</v>
      </c>
      <c r="K29" s="12">
        <f>K10</f>
        <v>0.03</v>
      </c>
      <c r="L29" s="12">
        <f>L10</f>
        <v>3.4000000000000002E-2</v>
      </c>
      <c r="M29" s="12">
        <f>M10</f>
        <v>3.5999999999999997E-2</v>
      </c>
      <c r="N29" s="12">
        <f>N10</f>
        <v>3.7999999999999999E-2</v>
      </c>
      <c r="O29" s="12">
        <f>O10</f>
        <v>0.04</v>
      </c>
    </row>
    <row r="30" spans="1:15" x14ac:dyDescent="0.35">
      <c r="A30" t="s">
        <v>34</v>
      </c>
      <c r="B30" s="4">
        <f>21.112-0.495</f>
        <v>20.616999999999997</v>
      </c>
      <c r="C30" s="4">
        <f>23.097-1.372</f>
        <v>21.725000000000001</v>
      </c>
      <c r="D30" s="4">
        <f>25.829-1.336</f>
        <v>24.493000000000002</v>
      </c>
      <c r="E30" s="4">
        <f>29.184-1.527</f>
        <v>27.657</v>
      </c>
      <c r="F30" s="4">
        <f>34.722-1.646</f>
        <v>33.076000000000001</v>
      </c>
      <c r="J30" t="s">
        <v>38</v>
      </c>
      <c r="K30" s="4">
        <f>K15*K12</f>
        <v>-29.432386999999999</v>
      </c>
      <c r="L30" s="4">
        <f>L15*L12</f>
        <v>-29.873872804999998</v>
      </c>
      <c r="M30" s="4">
        <f>M15*M12</f>
        <v>-30.620719625124995</v>
      </c>
      <c r="N30" s="4">
        <f>N15*N12</f>
        <v>-31.692444812004364</v>
      </c>
      <c r="O30" s="4">
        <f>O15*O12</f>
        <v>-32.801680380424514</v>
      </c>
    </row>
    <row r="31" spans="1:15" x14ac:dyDescent="0.35">
      <c r="A31" t="s">
        <v>35</v>
      </c>
      <c r="B31" s="6">
        <f>B28-B25-B29</f>
        <v>61.147999999999989</v>
      </c>
      <c r="C31" s="6">
        <f>C28-C25-C29</f>
        <v>-5.5769999999999724</v>
      </c>
      <c r="D31" s="6">
        <f>D28-D25-D29</f>
        <v>88.108000000000033</v>
      </c>
      <c r="E31" s="6">
        <f t="shared" ref="B31:E31" si="8">E28-E25-E29</f>
        <v>-83.668999999999969</v>
      </c>
      <c r="F31" s="6">
        <f t="shared" ref="F31" si="9">F28-F25-F29</f>
        <v>-75.95400000000005</v>
      </c>
      <c r="J31" t="s">
        <v>32</v>
      </c>
      <c r="K31" s="4">
        <f>K30-F26</f>
        <v>2.8306130000000067</v>
      </c>
      <c r="L31" s="4">
        <f>L30-K30</f>
        <v>-0.44148580499999923</v>
      </c>
      <c r="M31" s="4">
        <f>M30-L30</f>
        <v>-0.74684682012499692</v>
      </c>
      <c r="N31" s="4">
        <f>N30-M30</f>
        <v>-1.0717251868793696</v>
      </c>
      <c r="O31" s="4">
        <f>O30-N30</f>
        <v>-1.10923556842015</v>
      </c>
    </row>
    <row r="32" spans="1:15" x14ac:dyDescent="0.35">
      <c r="A32" t="s">
        <v>24</v>
      </c>
      <c r="B32" s="12">
        <f>B31/B7</f>
        <v>3.9585833828577048E-2</v>
      </c>
      <c r="C32" s="12">
        <f>C31/C7</f>
        <v>-3.5161717420086835E-3</v>
      </c>
      <c r="D32" s="12">
        <f>D31/D7</f>
        <v>4.9730121469326774E-2</v>
      </c>
      <c r="E32" s="12">
        <f>E31/E7</f>
        <v>-4.7619806479262325E-2</v>
      </c>
      <c r="F32" s="12">
        <f>F31/F7</f>
        <v>-4.903190488763283E-2</v>
      </c>
      <c r="J32" t="s">
        <v>40</v>
      </c>
      <c r="K32" s="4">
        <f>K20*K11</f>
        <v>-3.6790483749999989</v>
      </c>
      <c r="L32" s="4">
        <f>L20*L11</f>
        <v>-1.1202702301874972</v>
      </c>
      <c r="M32" s="4">
        <f>M20*M11</f>
        <v>3.4448309578265626</v>
      </c>
      <c r="N32" s="4">
        <f>N20*N11</f>
        <v>9.9038890037513649</v>
      </c>
      <c r="O32" s="4">
        <f>O20*O11</f>
        <v>10.25052511888266</v>
      </c>
    </row>
    <row r="33" spans="1:15" x14ac:dyDescent="0.35">
      <c r="A33" t="s">
        <v>25</v>
      </c>
      <c r="B33" s="12">
        <f>B25/B7</f>
        <v>4.5967032952804888E-2</v>
      </c>
      <c r="C33" s="12">
        <f>C25/C7</f>
        <v>7.9866338818485594E-2</v>
      </c>
      <c r="D33" s="12">
        <f>D25/D7</f>
        <v>7.843664049064103E-2</v>
      </c>
      <c r="E33" s="12">
        <f>E25/E7</f>
        <v>6.9759553243814387E-2</v>
      </c>
      <c r="F33" s="12">
        <f>F25/F7</f>
        <v>2.4701224538804821E-2</v>
      </c>
      <c r="J33" t="s">
        <v>35</v>
      </c>
      <c r="K33" s="6">
        <f>K20-K32+K19-K28-K31</f>
        <v>8.2065321250000025</v>
      </c>
      <c r="L33" s="6">
        <f>L20-L32+L19-L28-L31</f>
        <v>10.523917876687499</v>
      </c>
      <c r="M33" s="6">
        <f>M20-M32+M19-M28-M31</f>
        <v>18.736519599885934</v>
      </c>
      <c r="N33" s="6">
        <f>N20-N32+N19-N28-N31</f>
        <v>33.952636679333906</v>
      </c>
      <c r="O33" s="6">
        <f>O20-O32+O19-O28-O31</f>
        <v>31.860810925068126</v>
      </c>
    </row>
    <row r="34" spans="1:15" x14ac:dyDescent="0.35">
      <c r="A34" t="s">
        <v>47</v>
      </c>
      <c r="B34" s="12">
        <f>B24/B7</f>
        <v>8.099403506455001E-2</v>
      </c>
      <c r="C34" s="12">
        <f>C24/C7</f>
        <v>7.4542588739675938E-2</v>
      </c>
      <c r="D34" s="12">
        <f>D24/D7</f>
        <v>8.270197993704434E-2</v>
      </c>
      <c r="E34" s="12">
        <f>E24/E7</f>
        <v>7.5828348096010231E-2</v>
      </c>
      <c r="F34" s="12">
        <f>F24/F7</f>
        <v>4.707073197970657E-2</v>
      </c>
      <c r="J34" t="s">
        <v>24</v>
      </c>
      <c r="K34" s="12">
        <f>K33/K15</f>
        <v>5.5765318151055863E-3</v>
      </c>
      <c r="L34" s="12">
        <f>L33/L15</f>
        <v>7.0455665024630543E-3</v>
      </c>
      <c r="M34" s="12">
        <f>M33/M15</f>
        <v>1.2237804878048781E-2</v>
      </c>
      <c r="N34" s="12">
        <f>N33/N15</f>
        <v>2.1426328502415461E-2</v>
      </c>
      <c r="O34" s="12">
        <f>O33/O15</f>
        <v>1.9426328502415453E-2</v>
      </c>
    </row>
    <row r="35" spans="1:15" x14ac:dyDescent="0.35">
      <c r="A35" s="1" t="s">
        <v>49</v>
      </c>
      <c r="B35" s="15">
        <f>B26/B7</f>
        <v>2.0101068561152037E-3</v>
      </c>
      <c r="C35" s="15">
        <f>C26/C7</f>
        <v>1.3120862492907118E-2</v>
      </c>
      <c r="D35" s="15">
        <f>D26/D7</f>
        <v>-3.5884842043592609E-2</v>
      </c>
      <c r="E35" s="15">
        <f>E26/E7</f>
        <v>-1.3179125349099449E-2</v>
      </c>
      <c r="F35" s="15">
        <f>F26/F7</f>
        <v>-2.0827294775649697E-2</v>
      </c>
    </row>
    <row r="36" spans="1:15" ht="15" thickBot="1" x14ac:dyDescent="0.4">
      <c r="J36" s="8" t="s">
        <v>50</v>
      </c>
      <c r="K36" s="7"/>
      <c r="L36" s="7"/>
      <c r="M36" s="7"/>
      <c r="N36" s="7"/>
      <c r="O36" s="7"/>
    </row>
    <row r="37" spans="1:15" ht="14.5" customHeight="1" x14ac:dyDescent="0.35">
      <c r="J37" s="1" t="s">
        <v>12</v>
      </c>
      <c r="K37" s="16" t="s">
        <v>60</v>
      </c>
      <c r="L37" s="16"/>
      <c r="M37" s="16"/>
      <c r="N37" s="16"/>
      <c r="O37" s="16"/>
    </row>
    <row r="38" spans="1:15" ht="14.5" customHeight="1" x14ac:dyDescent="0.35">
      <c r="J38" s="1" t="s">
        <v>14</v>
      </c>
      <c r="K38" s="11" t="s">
        <v>61</v>
      </c>
      <c r="L38" s="11"/>
      <c r="M38" s="11"/>
      <c r="N38" s="11"/>
      <c r="O38" s="11"/>
    </row>
    <row r="39" spans="1:15" ht="14.5" customHeight="1" x14ac:dyDescent="0.35">
      <c r="J39" s="1" t="s">
        <v>47</v>
      </c>
      <c r="K39" s="11" t="s">
        <v>150</v>
      </c>
      <c r="L39" s="11"/>
      <c r="M39" s="11"/>
      <c r="N39" s="11"/>
      <c r="O39" s="11"/>
    </row>
    <row r="40" spans="1:15" ht="14.5" customHeight="1" x14ac:dyDescent="0.35">
      <c r="J40" s="1" t="s">
        <v>25</v>
      </c>
      <c r="K40" s="11" t="s">
        <v>151</v>
      </c>
      <c r="L40" s="11"/>
      <c r="M40" s="11"/>
      <c r="N40" s="11"/>
      <c r="O40" s="11"/>
    </row>
    <row r="41" spans="1:15" x14ac:dyDescent="0.35">
      <c r="J41" s="1" t="s">
        <v>48</v>
      </c>
      <c r="K41" s="11" t="s">
        <v>58</v>
      </c>
      <c r="L41" s="11"/>
      <c r="M41" s="11"/>
      <c r="N41" s="11"/>
      <c r="O41" s="11"/>
    </row>
    <row r="42" spans="1:15" ht="14.5" customHeight="1" x14ac:dyDescent="0.35">
      <c r="J42" s="1" t="s">
        <v>49</v>
      </c>
      <c r="K42" s="11" t="s">
        <v>149</v>
      </c>
      <c r="L42" s="11"/>
      <c r="M42" s="11"/>
      <c r="N42" s="11"/>
      <c r="O42" s="11"/>
    </row>
  </sheetData>
  <mergeCells count="6">
    <mergeCell ref="K42:O42"/>
    <mergeCell ref="K38:O38"/>
    <mergeCell ref="K39:O39"/>
    <mergeCell ref="K40:O40"/>
    <mergeCell ref="K41:O41"/>
    <mergeCell ref="K37:O37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20BC-A872-483E-9110-7D7C738988D7}">
  <dimension ref="A1:O133"/>
  <sheetViews>
    <sheetView showGridLines="0" zoomScale="86" zoomScaleNormal="26" workbookViewId="0">
      <selection activeCell="C18" sqref="C18:F18"/>
    </sheetView>
  </sheetViews>
  <sheetFormatPr defaultRowHeight="14.5" x14ac:dyDescent="0.35"/>
  <cols>
    <col min="1" max="1" width="39.1796875" bestFit="1" customWidth="1"/>
    <col min="2" max="6" width="21.26953125" customWidth="1"/>
    <col min="7" max="9" width="8.54296875" customWidth="1"/>
    <col min="10" max="10" width="41.08984375" bestFit="1" customWidth="1"/>
    <col min="11" max="15" width="21.453125" customWidth="1"/>
  </cols>
  <sheetData>
    <row r="1" spans="1:15" x14ac:dyDescent="0.35">
      <c r="A1" s="3" t="s">
        <v>63</v>
      </c>
    </row>
    <row r="2" spans="1:15" x14ac:dyDescent="0.35">
      <c r="A2" s="3"/>
    </row>
    <row r="3" spans="1:15" x14ac:dyDescent="0.35">
      <c r="A3" s="3"/>
    </row>
    <row r="5" spans="1:15" ht="15" thickBot="1" x14ac:dyDescent="0.4">
      <c r="A5" s="8" t="s">
        <v>62</v>
      </c>
      <c r="B5" s="8" t="s">
        <v>100</v>
      </c>
      <c r="C5" s="8" t="s">
        <v>89</v>
      </c>
      <c r="D5" s="19"/>
      <c r="E5" s="7"/>
      <c r="F5" s="7"/>
    </row>
    <row r="6" spans="1:15" x14ac:dyDescent="0.35">
      <c r="A6" s="18" t="s">
        <v>69</v>
      </c>
      <c r="B6" s="20">
        <v>46255</v>
      </c>
      <c r="C6" s="22" t="s">
        <v>104</v>
      </c>
      <c r="D6" s="22"/>
      <c r="E6" s="22"/>
      <c r="F6" s="22"/>
    </row>
    <row r="7" spans="1:15" x14ac:dyDescent="0.35">
      <c r="A7" s="18" t="s">
        <v>64</v>
      </c>
      <c r="B7" s="23">
        <v>5.0639000000000003E-2</v>
      </c>
      <c r="C7" s="21" t="s">
        <v>105</v>
      </c>
      <c r="D7" s="21"/>
      <c r="E7" s="21"/>
      <c r="F7" s="21"/>
    </row>
    <row r="8" spans="1:15" x14ac:dyDescent="0.35">
      <c r="A8" s="18" t="s">
        <v>65</v>
      </c>
      <c r="B8" s="23">
        <v>4.9799999999999997E-2</v>
      </c>
      <c r="C8" s="21" t="s">
        <v>106</v>
      </c>
      <c r="D8" s="21"/>
      <c r="E8" s="21"/>
      <c r="F8" s="21"/>
    </row>
    <row r="9" spans="1:15" x14ac:dyDescent="0.35">
      <c r="A9" s="18" t="s">
        <v>68</v>
      </c>
      <c r="B9" s="23">
        <v>0.02</v>
      </c>
      <c r="C9" s="24" t="s">
        <v>107</v>
      </c>
      <c r="D9" s="24"/>
      <c r="E9" s="24"/>
      <c r="F9" s="24"/>
    </row>
    <row r="10" spans="1:15" x14ac:dyDescent="0.35">
      <c r="A10" s="18" t="s">
        <v>48</v>
      </c>
      <c r="B10" s="23">
        <v>0.25</v>
      </c>
      <c r="C10" s="21" t="s">
        <v>70</v>
      </c>
      <c r="D10" s="21"/>
      <c r="E10" s="21"/>
      <c r="F10" s="21"/>
    </row>
    <row r="11" spans="1:15" x14ac:dyDescent="0.35">
      <c r="A11" s="18"/>
      <c r="B11" s="18"/>
      <c r="C11" s="18"/>
      <c r="D11" s="18"/>
    </row>
    <row r="12" spans="1:15" ht="15" thickBot="1" x14ac:dyDescent="0.4">
      <c r="A12" s="8" t="s">
        <v>66</v>
      </c>
      <c r="B12" s="19"/>
      <c r="C12" s="19"/>
      <c r="D12" s="19"/>
      <c r="E12" s="7"/>
      <c r="F12" s="7"/>
      <c r="J12" s="8" t="s">
        <v>67</v>
      </c>
      <c r="K12" s="19"/>
      <c r="L12" s="19"/>
      <c r="M12" s="19"/>
      <c r="N12" s="7"/>
      <c r="O12" s="7"/>
    </row>
    <row r="13" spans="1:15" x14ac:dyDescent="0.35">
      <c r="A13" s="18" t="s">
        <v>71</v>
      </c>
      <c r="B13" s="25">
        <v>1.0900000000000001</v>
      </c>
      <c r="C13" s="22" t="s">
        <v>108</v>
      </c>
      <c r="D13" s="22"/>
      <c r="E13" s="22"/>
      <c r="F13" s="22"/>
      <c r="J13" s="18" t="s">
        <v>80</v>
      </c>
      <c r="K13" s="18">
        <v>0.84</v>
      </c>
      <c r="L13" s="22" t="s">
        <v>112</v>
      </c>
      <c r="M13" s="22"/>
      <c r="N13" s="22"/>
      <c r="O13" s="22"/>
    </row>
    <row r="14" spans="1:15" x14ac:dyDescent="0.35">
      <c r="A14" s="18" t="s">
        <v>72</v>
      </c>
      <c r="B14" s="17">
        <v>6.6699999999999995E-2</v>
      </c>
      <c r="C14" s="24" t="s">
        <v>109</v>
      </c>
      <c r="D14" s="24"/>
      <c r="E14" s="24"/>
      <c r="F14" s="24"/>
      <c r="J14" s="18" t="s">
        <v>81</v>
      </c>
      <c r="K14" s="18">
        <f>K13*(1+(1-B10)*(K16/K17))</f>
        <v>0.99749999999999994</v>
      </c>
      <c r="L14" s="21" t="s">
        <v>75</v>
      </c>
      <c r="M14" s="21"/>
      <c r="N14" s="21"/>
      <c r="O14" s="21"/>
    </row>
    <row r="15" spans="1:15" x14ac:dyDescent="0.35">
      <c r="A15" s="18" t="s">
        <v>73</v>
      </c>
      <c r="B15" s="23">
        <f>'B&amp;M Operating Model'!F18/('B&amp;M Operating Model'!F18+(1005.038256*2.364))</f>
        <v>0.32577445439203073</v>
      </c>
      <c r="C15" s="24" t="s">
        <v>110</v>
      </c>
      <c r="D15" s="24"/>
      <c r="E15" s="24"/>
      <c r="F15" s="24"/>
      <c r="J15" s="18" t="s">
        <v>72</v>
      </c>
      <c r="K15" s="17">
        <v>6.5000000000000002E-2</v>
      </c>
      <c r="L15" s="24" t="s">
        <v>111</v>
      </c>
      <c r="M15" s="24"/>
      <c r="N15" s="24"/>
      <c r="O15" s="24"/>
    </row>
    <row r="16" spans="1:15" x14ac:dyDescent="0.35">
      <c r="A16" s="18" t="s">
        <v>74</v>
      </c>
      <c r="B16" s="17">
        <f>1-B15</f>
        <v>0.67422554560796932</v>
      </c>
      <c r="C16" s="24" t="s">
        <v>75</v>
      </c>
      <c r="D16" s="24"/>
      <c r="E16" s="24"/>
      <c r="F16" s="24"/>
      <c r="J16" s="18" t="s">
        <v>73</v>
      </c>
      <c r="K16" s="23">
        <v>0.2</v>
      </c>
      <c r="L16" s="24" t="s">
        <v>113</v>
      </c>
      <c r="M16" s="24"/>
      <c r="N16" s="24"/>
      <c r="O16" s="24"/>
    </row>
    <row r="17" spans="1:15" x14ac:dyDescent="0.35">
      <c r="A17" s="18" t="s">
        <v>76</v>
      </c>
      <c r="B17" s="17">
        <f>B7+(B13*B8)</f>
        <v>0.10492100000000001</v>
      </c>
      <c r="C17" s="24" t="s">
        <v>77</v>
      </c>
      <c r="D17" s="24"/>
      <c r="E17" s="24"/>
      <c r="F17" s="24"/>
      <c r="J17" s="18" t="s">
        <v>74</v>
      </c>
      <c r="K17" s="17">
        <f>1-K16</f>
        <v>0.8</v>
      </c>
      <c r="L17" s="24" t="s">
        <v>75</v>
      </c>
      <c r="M17" s="24"/>
      <c r="N17" s="24"/>
      <c r="O17" s="24"/>
    </row>
    <row r="18" spans="1:15" x14ac:dyDescent="0.35">
      <c r="A18" s="18" t="s">
        <v>78</v>
      </c>
      <c r="B18" s="17">
        <f>B14*(1-B10)</f>
        <v>5.0025E-2</v>
      </c>
      <c r="C18" s="24" t="s">
        <v>77</v>
      </c>
      <c r="D18" s="24"/>
      <c r="E18" s="24"/>
      <c r="F18" s="24"/>
      <c r="J18" s="18" t="s">
        <v>76</v>
      </c>
      <c r="K18" s="17">
        <f>B7+(K14*B8)</f>
        <v>0.1003145</v>
      </c>
      <c r="L18" s="24" t="s">
        <v>77</v>
      </c>
      <c r="M18" s="24"/>
      <c r="N18" s="24"/>
      <c r="O18" s="24"/>
    </row>
    <row r="19" spans="1:15" x14ac:dyDescent="0.35">
      <c r="A19" s="18" t="s">
        <v>79</v>
      </c>
      <c r="B19" s="17">
        <f>(B16*B17)+(B15*B18)</f>
        <v>8.7037285551695098E-2</v>
      </c>
      <c r="C19" s="24" t="s">
        <v>77</v>
      </c>
      <c r="D19" s="24"/>
      <c r="E19" s="24"/>
      <c r="F19" s="24"/>
      <c r="J19" s="18" t="s">
        <v>78</v>
      </c>
      <c r="K19" s="17">
        <f>K15*(1-B10)</f>
        <v>4.8750000000000002E-2</v>
      </c>
      <c r="L19" s="24" t="s">
        <v>77</v>
      </c>
      <c r="M19" s="24"/>
      <c r="N19" s="24"/>
      <c r="O19" s="24"/>
    </row>
    <row r="20" spans="1:15" x14ac:dyDescent="0.35">
      <c r="A20" s="18"/>
      <c r="B20" s="30"/>
      <c r="C20" s="18"/>
      <c r="D20" s="18"/>
      <c r="J20" s="18" t="s">
        <v>79</v>
      </c>
      <c r="K20" s="17">
        <f>(K17*K18)+(K16*K19)</f>
        <v>9.0001600000000015E-2</v>
      </c>
      <c r="L20" s="24" t="s">
        <v>77</v>
      </c>
      <c r="M20" s="24"/>
      <c r="N20" s="24"/>
      <c r="O20" s="24"/>
    </row>
    <row r="24" spans="1:15" x14ac:dyDescent="0.35">
      <c r="A24" s="3" t="s">
        <v>88</v>
      </c>
      <c r="J24" s="3" t="s">
        <v>91</v>
      </c>
    </row>
    <row r="25" spans="1:15" ht="15" thickBot="1" x14ac:dyDescent="0.4">
      <c r="A25" s="8" t="s">
        <v>18</v>
      </c>
      <c r="B25" s="8" t="s">
        <v>41</v>
      </c>
      <c r="C25" s="8" t="s">
        <v>42</v>
      </c>
      <c r="D25" s="8" t="s">
        <v>43</v>
      </c>
      <c r="E25" s="8" t="s">
        <v>44</v>
      </c>
      <c r="F25" s="8" t="s">
        <v>45</v>
      </c>
      <c r="J25" s="8" t="s">
        <v>18</v>
      </c>
      <c r="K25" s="8" t="s">
        <v>41</v>
      </c>
      <c r="L25" s="8" t="s">
        <v>42</v>
      </c>
      <c r="M25" s="8" t="s">
        <v>43</v>
      </c>
      <c r="N25" s="8" t="s">
        <v>44</v>
      </c>
      <c r="O25" s="8" t="s">
        <v>45</v>
      </c>
    </row>
    <row r="26" spans="1:15" x14ac:dyDescent="0.35">
      <c r="A26" t="s">
        <v>27</v>
      </c>
      <c r="B26" s="27">
        <f>'B&amp;M Operating Model'!K20</f>
        <v>498.75770249999999</v>
      </c>
      <c r="C26" s="27">
        <f>'B&amp;M Operating Model'!L20</f>
        <v>459.52017457499988</v>
      </c>
      <c r="D26" s="27">
        <f>'B&amp;M Operating Model'!M20</f>
        <v>432.36670971374986</v>
      </c>
      <c r="E26" s="27">
        <f>'B&amp;M Operating Model'!N20</f>
        <v>386.76746350715331</v>
      </c>
      <c r="F26" s="27">
        <f>'B&amp;M Operating Model'!O20</f>
        <v>344.06322125545444</v>
      </c>
      <c r="J26" t="s">
        <v>27</v>
      </c>
      <c r="K26" s="27">
        <f>'Poundland Operating Model'!K20</f>
        <v>-14.716193499999996</v>
      </c>
      <c r="L26" s="27">
        <f>'Poundland Operating Model'!L20</f>
        <v>-4.4810809207499886</v>
      </c>
      <c r="M26" s="27">
        <f>'Poundland Operating Model'!M20</f>
        <v>13.77932383130625</v>
      </c>
      <c r="N26" s="27">
        <f>'Poundland Operating Model'!N20</f>
        <v>39.61555601500546</v>
      </c>
      <c r="O26" s="27">
        <f>'Poundland Operating Model'!O20</f>
        <v>41.002100475530639</v>
      </c>
    </row>
    <row r="27" spans="1:15" x14ac:dyDescent="0.35">
      <c r="A27" t="s">
        <v>90</v>
      </c>
      <c r="B27" s="27">
        <f>B26*B10</f>
        <v>124.689425625</v>
      </c>
      <c r="C27" s="27">
        <f>C26*B10</f>
        <v>114.88004364374997</v>
      </c>
      <c r="D27" s="27">
        <f>D26*B10</f>
        <v>108.09167742843746</v>
      </c>
      <c r="E27" s="27">
        <f>E26*B10</f>
        <v>96.691865876788327</v>
      </c>
      <c r="F27" s="27">
        <f>F26*B10</f>
        <v>86.015805313863609</v>
      </c>
      <c r="J27" t="s">
        <v>90</v>
      </c>
      <c r="K27" s="27">
        <f>MAX(0,K26*B10)</f>
        <v>0</v>
      </c>
      <c r="L27" s="27">
        <f>MAX(0,L26*B10)</f>
        <v>0</v>
      </c>
      <c r="M27" s="27">
        <f>MAX(0,M26*B10)</f>
        <v>3.4448309578265626</v>
      </c>
      <c r="N27" s="27">
        <f>MAX(0,N26*B10)</f>
        <v>9.9038890037513649</v>
      </c>
      <c r="O27" s="27">
        <f>MAX(0,O26*B10)</f>
        <v>10.25052511888266</v>
      </c>
    </row>
    <row r="28" spans="1:15" x14ac:dyDescent="0.35">
      <c r="A28" t="s">
        <v>83</v>
      </c>
      <c r="B28" s="27">
        <f>B26-B27</f>
        <v>374.06827687499998</v>
      </c>
      <c r="C28" s="27">
        <f t="shared" ref="C28:F28" si="0">C26-C27</f>
        <v>344.64013093124993</v>
      </c>
      <c r="D28" s="27">
        <f t="shared" si="0"/>
        <v>324.27503228531236</v>
      </c>
      <c r="E28" s="27">
        <f t="shared" si="0"/>
        <v>290.075597630365</v>
      </c>
      <c r="F28" s="27">
        <f t="shared" si="0"/>
        <v>258.04741594159083</v>
      </c>
      <c r="J28" t="s">
        <v>83</v>
      </c>
      <c r="K28" s="27">
        <f>K26-K27</f>
        <v>-14.716193499999996</v>
      </c>
      <c r="L28" s="27">
        <f t="shared" ref="L28:O28" si="1">L26-L27</f>
        <v>-4.4810809207499886</v>
      </c>
      <c r="M28" s="27">
        <f t="shared" si="1"/>
        <v>10.334492873479688</v>
      </c>
      <c r="N28" s="27">
        <f t="shared" si="1"/>
        <v>29.711667011254093</v>
      </c>
      <c r="O28" s="27">
        <f t="shared" si="1"/>
        <v>30.751575356647979</v>
      </c>
    </row>
    <row r="29" spans="1:15" x14ac:dyDescent="0.35">
      <c r="A29" t="s">
        <v>114</v>
      </c>
      <c r="B29" s="27">
        <f>'B&amp;M Operating Model'!K19</f>
        <v>279.65027249999997</v>
      </c>
      <c r="C29" s="27">
        <f>'B&amp;M Operating Model'!L19</f>
        <v>286.45413479999996</v>
      </c>
      <c r="D29" s="27">
        <f>'B&amp;M Operating Model'!M19</f>
        <v>293.39169587718743</v>
      </c>
      <c r="E29" s="27">
        <f>'B&amp;M Operating Model'!N19</f>
        <v>300.46397991464806</v>
      </c>
      <c r="F29" s="27">
        <f>'B&amp;M Operating Model'!O19</f>
        <v>307.6719190072813</v>
      </c>
      <c r="J29" t="s">
        <v>114</v>
      </c>
      <c r="K29" s="27">
        <f>'Poundland Operating Model'!K19</f>
        <v>66.222870749999998</v>
      </c>
      <c r="L29" s="27">
        <f>'Poundland Operating Model'!L19</f>
        <v>64.228826530749984</v>
      </c>
      <c r="M29" s="27">
        <f>'Poundland Operating Model'!M19</f>
        <v>62.772475231506242</v>
      </c>
      <c r="N29" s="27">
        <f>'Poundland Operating Model'!N19</f>
        <v>63.384889624008729</v>
      </c>
      <c r="O29" s="27">
        <f>'Poundland Operating Model'!O19</f>
        <v>65.603360760849029</v>
      </c>
    </row>
    <row r="30" spans="1:15" x14ac:dyDescent="0.35">
      <c r="A30" t="s">
        <v>115</v>
      </c>
      <c r="B30" s="27">
        <f>'B&amp;M Operating Model'!K28</f>
        <v>137.8070415</v>
      </c>
      <c r="C30" s="27">
        <f>'B&amp;M Operating Model'!L28</f>
        <v>146.80774408499997</v>
      </c>
      <c r="D30" s="27">
        <f>'B&amp;M Operating Model'!M28</f>
        <v>156.88734895327497</v>
      </c>
      <c r="E30" s="27">
        <f>'B&amp;M Operating Model'!N28</f>
        <v>167.49268667582507</v>
      </c>
      <c r="F30" s="27">
        <f>'B&amp;M Operating Model'!O28</f>
        <v>178.64821103648592</v>
      </c>
      <c r="J30" t="s">
        <v>115</v>
      </c>
      <c r="K30" s="27">
        <f>'Poundland Operating Model'!K28</f>
        <v>44.148580499999994</v>
      </c>
      <c r="L30" s="27">
        <f>'Poundland Operating Model'!L28</f>
        <v>50.785583768499997</v>
      </c>
      <c r="M30" s="27">
        <f>'Poundland Operating Model'!M28</f>
        <v>55.117295325224987</v>
      </c>
      <c r="N30" s="27">
        <f>'Poundland Operating Model'!N28</f>
        <v>60.215645142808292</v>
      </c>
      <c r="O30" s="27">
        <f>'Poundland Operating Model'!O28</f>
        <v>65.603360760849029</v>
      </c>
    </row>
    <row r="31" spans="1:15" x14ac:dyDescent="0.35">
      <c r="A31" t="s">
        <v>87</v>
      </c>
      <c r="B31" s="27">
        <f>'B&amp;M Operating Model'!K31</f>
        <v>1.9590999999999781</v>
      </c>
      <c r="C31" s="27">
        <f>'B&amp;M Operating Model'!L31</f>
        <v>12.108568499999933</v>
      </c>
      <c r="D31" s="27">
        <f>'B&amp;M Operating Model'!M31</f>
        <v>12.532368397499965</v>
      </c>
      <c r="E31" s="27">
        <f>'B&amp;M Operating Model'!N31</f>
        <v>12.971001291412506</v>
      </c>
      <c r="F31" s="27">
        <f>'B&amp;M Operating Model'!O31</f>
        <v>13.42498633661188</v>
      </c>
      <c r="J31" t="s">
        <v>87</v>
      </c>
      <c r="K31" s="27">
        <f>'Poundland Operating Model'!K31</f>
        <v>2.8306130000000067</v>
      </c>
      <c r="L31" s="27">
        <f>'Poundland Operating Model'!L31</f>
        <v>-0.44148580499999923</v>
      </c>
      <c r="M31" s="27">
        <f>'Poundland Operating Model'!M31</f>
        <v>-0.74684682012499692</v>
      </c>
      <c r="N31" s="27">
        <f>'Poundland Operating Model'!N31</f>
        <v>-1.0717251868793696</v>
      </c>
      <c r="O31" s="27">
        <f>'Poundland Operating Model'!O31</f>
        <v>-1.10923556842015</v>
      </c>
    </row>
    <row r="32" spans="1:15" x14ac:dyDescent="0.35">
      <c r="A32" t="s">
        <v>85</v>
      </c>
      <c r="B32" s="27">
        <f>B28+B29-B30-B31</f>
        <v>513.95240787500006</v>
      </c>
      <c r="C32" s="27">
        <f t="shared" ref="C32:F32" si="2">C28+C29-C30-C31</f>
        <v>472.17795314624993</v>
      </c>
      <c r="D32" s="27">
        <f t="shared" si="2"/>
        <v>448.24701081172486</v>
      </c>
      <c r="E32" s="27">
        <f t="shared" si="2"/>
        <v>410.07588957777551</v>
      </c>
      <c r="F32" s="27">
        <f t="shared" si="2"/>
        <v>373.64613757577428</v>
      </c>
      <c r="J32" t="s">
        <v>85</v>
      </c>
      <c r="K32" s="27">
        <f>K28+K29-K30-K31</f>
        <v>4.5274837500000018</v>
      </c>
      <c r="L32" s="27">
        <f t="shared" ref="L32" si="3">L28+L29-L30-L31</f>
        <v>9.4036476464999978</v>
      </c>
      <c r="M32" s="27">
        <f t="shared" ref="M32" si="4">M28+M29-M30-M31</f>
        <v>18.736519599885934</v>
      </c>
      <c r="N32" s="27">
        <f t="shared" ref="N32" si="5">N28+N29-N30-N31</f>
        <v>33.952636679333906</v>
      </c>
      <c r="O32" s="27">
        <f t="shared" ref="O32" si="6">O28+O29-O30-O31</f>
        <v>31.860810925068126</v>
      </c>
    </row>
    <row r="33" spans="1:15" x14ac:dyDescent="0.35">
      <c r="A33" t="s">
        <v>84</v>
      </c>
      <c r="B33" s="46">
        <f>1/(1+B19)^1</f>
        <v>0.91993164658788873</v>
      </c>
      <c r="C33" s="46">
        <f>1/(1+B19)^2</f>
        <v>0.84627423439390426</v>
      </c>
      <c r="D33" s="46">
        <f>1/(1+B19)^3</f>
        <v>0.77851444991088914</v>
      </c>
      <c r="E33" s="46">
        <f>1/(1+B19)^4</f>
        <v>0.71618007979898868</v>
      </c>
      <c r="F33" s="46">
        <f>1/(1+B19)^5</f>
        <v>0.65883672006292926</v>
      </c>
      <c r="J33" t="s">
        <v>84</v>
      </c>
      <c r="K33" s="46">
        <f>1/(1+K20)^1</f>
        <v>0.91742984597453814</v>
      </c>
      <c r="L33" s="46">
        <f>1/(1+K20)^2</f>
        <v>0.8416775222848647</v>
      </c>
      <c r="M33" s="46">
        <f>1/(1+K20)^3</f>
        <v>0.77218007963003432</v>
      </c>
      <c r="N33" s="46">
        <f>1/(1+K20)^4</f>
        <v>0.7084210515195889</v>
      </c>
      <c r="O33" s="46">
        <f>1/(1+K20)^5</f>
        <v>0.64992661618073666</v>
      </c>
    </row>
    <row r="34" spans="1:15" x14ac:dyDescent="0.35">
      <c r="A34" t="s">
        <v>86</v>
      </c>
      <c r="B34" s="27">
        <f>B32*B33</f>
        <v>472.80108484425898</v>
      </c>
      <c r="C34" s="27">
        <f t="shared" ref="C34:F34" si="7">C32*C33</f>
        <v>399.59203579652348</v>
      </c>
      <c r="D34" s="27">
        <f t="shared" si="7"/>
        <v>348.96677504629037</v>
      </c>
      <c r="E34" s="27">
        <f t="shared" si="7"/>
        <v>293.68818332145253</v>
      </c>
      <c r="F34" s="27">
        <f t="shared" si="7"/>
        <v>246.17179574460516</v>
      </c>
      <c r="J34" t="s">
        <v>86</v>
      </c>
      <c r="K34" s="27">
        <f>K32*K33</f>
        <v>4.1536487194147256</v>
      </c>
      <c r="L34" s="27">
        <f t="shared" ref="L34" si="8">L32*L33</f>
        <v>7.9148388515460173</v>
      </c>
      <c r="M34" s="27">
        <f t="shared" ref="M34" si="9">M32*M33</f>
        <v>14.467967196629619</v>
      </c>
      <c r="N34" s="27">
        <f t="shared" ref="N34" si="10">N32*N33</f>
        <v>24.05276257823629</v>
      </c>
      <c r="O34" s="27">
        <f t="shared" ref="O34" si="11">O32*O33</f>
        <v>20.707189033303774</v>
      </c>
    </row>
    <row r="36" spans="1:15" ht="15" thickBot="1" x14ac:dyDescent="0.4">
      <c r="A36" s="8" t="s">
        <v>99</v>
      </c>
      <c r="B36" s="8" t="s">
        <v>100</v>
      </c>
      <c r="J36" s="8" t="s">
        <v>102</v>
      </c>
      <c r="K36" s="8" t="s">
        <v>100</v>
      </c>
    </row>
    <row r="37" spans="1:15" x14ac:dyDescent="0.35">
      <c r="A37" t="s">
        <v>117</v>
      </c>
      <c r="B37" s="6">
        <f>F32</f>
        <v>373.64613757577428</v>
      </c>
      <c r="J37" t="s">
        <v>117</v>
      </c>
      <c r="K37" s="6">
        <f>O32</f>
        <v>31.860810925068126</v>
      </c>
    </row>
    <row r="38" spans="1:15" x14ac:dyDescent="0.35">
      <c r="A38" t="s">
        <v>68</v>
      </c>
      <c r="B38" s="17">
        <f>B9</f>
        <v>0.02</v>
      </c>
      <c r="J38" t="s">
        <v>68</v>
      </c>
      <c r="K38" s="17">
        <f>B9</f>
        <v>0.02</v>
      </c>
    </row>
    <row r="39" spans="1:15" x14ac:dyDescent="0.35">
      <c r="A39" t="s">
        <v>79</v>
      </c>
      <c r="B39" s="17">
        <f>B19</f>
        <v>8.7037285551695098E-2</v>
      </c>
      <c r="J39" t="s">
        <v>79</v>
      </c>
      <c r="K39" s="17">
        <f>K20</f>
        <v>9.0001600000000015E-2</v>
      </c>
    </row>
    <row r="40" spans="1:15" x14ac:dyDescent="0.35">
      <c r="A40" t="s">
        <v>116</v>
      </c>
      <c r="B40" s="6">
        <f>B37*(1+B38)/(B39-B38)</f>
        <v>5685.1803767232468</v>
      </c>
      <c r="J40" t="s">
        <v>116</v>
      </c>
      <c r="K40" s="6">
        <f>K37*(1+K38)/(K39-K38)</f>
        <v>464.24691926426658</v>
      </c>
    </row>
    <row r="41" spans="1:15" x14ac:dyDescent="0.35">
      <c r="A41" t="s">
        <v>92</v>
      </c>
      <c r="B41" s="26">
        <f>F33</f>
        <v>0.65883672006292926</v>
      </c>
      <c r="J41" t="s">
        <v>92</v>
      </c>
      <c r="K41">
        <f>O33</f>
        <v>0.64992661618073666</v>
      </c>
    </row>
    <row r="42" spans="1:15" x14ac:dyDescent="0.35">
      <c r="A42" t="s">
        <v>93</v>
      </c>
      <c r="B42" s="6">
        <f>B40*B41</f>
        <v>3745.6055923664726</v>
      </c>
      <c r="J42" t="s">
        <v>93</v>
      </c>
      <c r="K42" s="6">
        <f>K40*K41</f>
        <v>301.72642930975644</v>
      </c>
    </row>
    <row r="43" spans="1:15" x14ac:dyDescent="0.35">
      <c r="A43" t="s">
        <v>101</v>
      </c>
      <c r="B43" s="6">
        <f>SUM(B34:F34)</f>
        <v>1761.2198747531304</v>
      </c>
      <c r="J43" t="s">
        <v>101</v>
      </c>
      <c r="K43" s="6">
        <f>SUM(K34:O34)</f>
        <v>71.296406379130431</v>
      </c>
    </row>
    <row r="44" spans="1:15" x14ac:dyDescent="0.35">
      <c r="A44" t="s">
        <v>94</v>
      </c>
      <c r="B44" s="6">
        <f>B42+B43</f>
        <v>5506.8254671196028</v>
      </c>
      <c r="J44" t="s">
        <v>94</v>
      </c>
      <c r="K44" s="6">
        <f>K42+K43</f>
        <v>373.02283568888686</v>
      </c>
    </row>
    <row r="45" spans="1:15" x14ac:dyDescent="0.35">
      <c r="A45" t="s">
        <v>96</v>
      </c>
      <c r="B45" s="6">
        <f>'B&amp;M Operating Model'!F20</f>
        <v>931</v>
      </c>
      <c r="J45" t="s">
        <v>96</v>
      </c>
      <c r="K45" s="6">
        <f>'Poundland Operating Model'!F20</f>
        <v>47.459000000000003</v>
      </c>
    </row>
    <row r="46" spans="1:15" x14ac:dyDescent="0.35">
      <c r="A46" t="s">
        <v>95</v>
      </c>
      <c r="B46" s="6">
        <f>B44-B45</f>
        <v>4575.8254671196028</v>
      </c>
      <c r="J46" t="s">
        <v>95</v>
      </c>
      <c r="K46" s="6">
        <f>K44-K45</f>
        <v>325.56383568888685</v>
      </c>
    </row>
    <row r="50" spans="1:15" x14ac:dyDescent="0.35">
      <c r="A50" s="3" t="s">
        <v>271</v>
      </c>
      <c r="J50" s="3" t="s">
        <v>272</v>
      </c>
    </row>
    <row r="51" spans="1:15" ht="15" thickBot="1" x14ac:dyDescent="0.4">
      <c r="A51" s="8" t="s">
        <v>103</v>
      </c>
      <c r="B51" s="28">
        <f>C51-0.01</f>
        <v>6.7037285551695108E-2</v>
      </c>
      <c r="C51" s="28">
        <f>D51-0.01</f>
        <v>7.7037285551695103E-2</v>
      </c>
      <c r="D51" s="28">
        <v>8.7037285551695098E-2</v>
      </c>
      <c r="E51" s="28">
        <f>D51+0.01</f>
        <v>9.7037285551695093E-2</v>
      </c>
      <c r="F51" s="28">
        <f>E51+0.01</f>
        <v>0.10703728555169509</v>
      </c>
      <c r="J51" s="8" t="s">
        <v>103</v>
      </c>
      <c r="K51" s="29">
        <f>L51-0.01</f>
        <v>7.0001600000000025E-2</v>
      </c>
      <c r="L51" s="29">
        <f>M51-0.01</f>
        <v>8.000160000000002E-2</v>
      </c>
      <c r="M51" s="29">
        <v>9.0001600000000015E-2</v>
      </c>
      <c r="N51" s="29">
        <f>M51+0.01</f>
        <v>0.10000160000000001</v>
      </c>
      <c r="O51" s="29">
        <f>N51+0.01</f>
        <v>0.1100016</v>
      </c>
    </row>
    <row r="52" spans="1:15" x14ac:dyDescent="0.35">
      <c r="A52" s="14">
        <f>A53-0.01</f>
        <v>0</v>
      </c>
      <c r="B52" s="4">
        <v>5881.2450087629259</v>
      </c>
      <c r="C52" s="4">
        <v>5152.1931976690103</v>
      </c>
      <c r="D52" s="4">
        <v>4589.5686012123606</v>
      </c>
      <c r="E52" s="4">
        <v>4141.9652092013066</v>
      </c>
      <c r="F52" s="4">
        <v>3777.1851086929364</v>
      </c>
      <c r="J52" s="14">
        <f>J53-0.01</f>
        <v>0</v>
      </c>
      <c r="K52" s="4">
        <v>400.86656485767219</v>
      </c>
      <c r="L52" s="4">
        <v>344.80933788994253</v>
      </c>
      <c r="M52" s="4">
        <v>301.37219429072053</v>
      </c>
      <c r="N52" s="4">
        <v>266.76328894120599</v>
      </c>
      <c r="O52" s="4">
        <v>238.56986947068097</v>
      </c>
    </row>
    <row r="53" spans="1:15" x14ac:dyDescent="0.35">
      <c r="A53" s="14">
        <f>A54-0.01</f>
        <v>0.01</v>
      </c>
      <c r="B53" s="6">
        <v>6635.0636042113065</v>
      </c>
      <c r="C53" s="4">
        <v>5689.8685790471536</v>
      </c>
      <c r="D53" s="4">
        <v>4988.6637277067521</v>
      </c>
      <c r="E53" s="4">
        <v>4447.4087644390702</v>
      </c>
      <c r="F53" s="4">
        <v>4016.7028995781184</v>
      </c>
      <c r="J53" s="14">
        <f>J54-0.01</f>
        <v>0.01</v>
      </c>
      <c r="K53" s="4">
        <v>458.7358768250333</v>
      </c>
      <c r="L53" s="4">
        <v>386.62631069265967</v>
      </c>
      <c r="M53" s="4">
        <v>332.71943946392878</v>
      </c>
      <c r="N53" s="4">
        <v>290.94162329899069</v>
      </c>
      <c r="O53" s="4">
        <v>257.6489066956276</v>
      </c>
    </row>
    <row r="54" spans="1:15" x14ac:dyDescent="0.35">
      <c r="A54" s="14">
        <v>0.02</v>
      </c>
      <c r="B54" s="4">
        <v>7709.401798784902</v>
      </c>
      <c r="C54" s="4">
        <v>6416.0786623058157</v>
      </c>
      <c r="D54" s="31">
        <v>5506.8254671196028</v>
      </c>
      <c r="E54" s="4">
        <v>4832.1499099411749</v>
      </c>
      <c r="F54" s="4">
        <v>4311.2586639862511</v>
      </c>
      <c r="J54" s="14">
        <v>0.02</v>
      </c>
      <c r="K54" s="4">
        <v>539.75217287584826</v>
      </c>
      <c r="L54" s="4">
        <v>442.38190273310295</v>
      </c>
      <c r="M54" s="31">
        <v>373.02283568888686</v>
      </c>
      <c r="N54" s="4">
        <v>321.16442035696764</v>
      </c>
      <c r="O54" s="4">
        <v>280.96765459792812</v>
      </c>
    </row>
    <row r="55" spans="1:15" x14ac:dyDescent="0.35">
      <c r="A55" s="14">
        <f>A54+0.01</f>
        <v>0.03</v>
      </c>
      <c r="B55" s="4">
        <v>9363.8787257578115</v>
      </c>
      <c r="C55" s="4">
        <v>7451.0693542841445</v>
      </c>
      <c r="D55" s="4">
        <v>6206.6794923419584</v>
      </c>
      <c r="E55" s="4">
        <v>5331.6752810681101</v>
      </c>
      <c r="F55" s="4">
        <v>4682.2853897733312</v>
      </c>
      <c r="J55" s="14">
        <f>J54+0.01</f>
        <v>0.03</v>
      </c>
      <c r="K55" s="4">
        <v>661.27499669095994</v>
      </c>
      <c r="L55" s="4">
        <v>520.43901794098213</v>
      </c>
      <c r="M55" s="4">
        <v>426.76033907930639</v>
      </c>
      <c r="N55" s="4">
        <v>360.02210491979503</v>
      </c>
      <c r="O55" s="4">
        <v>310.11597288439611</v>
      </c>
    </row>
    <row r="56" spans="1:15" x14ac:dyDescent="0.35">
      <c r="A56" s="14">
        <f>A55+0.01</f>
        <v>0.04</v>
      </c>
      <c r="B56" s="6">
        <v>12242.20404816936</v>
      </c>
      <c r="C56" s="4">
        <v>9044.9512698289163</v>
      </c>
      <c r="D56" s="4">
        <v>7204.1076726261326</v>
      </c>
      <c r="E56" s="4">
        <v>6006.3581360392582</v>
      </c>
      <c r="F56" s="4">
        <v>5164.0047615211315</v>
      </c>
      <c r="J56" s="14">
        <f>J55+0.01</f>
        <v>0.04</v>
      </c>
      <c r="K56" s="4">
        <v>863.80871580173061</v>
      </c>
      <c r="L56" s="4">
        <v>637.52312967293994</v>
      </c>
      <c r="M56" s="4">
        <v>501.99215600786067</v>
      </c>
      <c r="N56" s="4">
        <v>411.83200561113478</v>
      </c>
      <c r="O56" s="4">
        <v>347.59219175784153</v>
      </c>
    </row>
    <row r="60" spans="1:15" ht="15" thickBot="1" x14ac:dyDescent="0.4">
      <c r="A60" s="8" t="s">
        <v>97</v>
      </c>
      <c r="B60" s="8" t="s">
        <v>1</v>
      </c>
      <c r="C60" s="8" t="s">
        <v>3</v>
      </c>
    </row>
    <row r="61" spans="1:15" x14ac:dyDescent="0.35">
      <c r="A61" t="s">
        <v>94</v>
      </c>
      <c r="B61" s="6">
        <f>D54</f>
        <v>5506.8254671196028</v>
      </c>
      <c r="C61" s="6">
        <f>M54</f>
        <v>373.02283568888686</v>
      </c>
    </row>
    <row r="62" spans="1:15" x14ac:dyDescent="0.35">
      <c r="A62" t="s">
        <v>96</v>
      </c>
      <c r="B62" s="6">
        <f>B45</f>
        <v>931</v>
      </c>
      <c r="C62" s="6">
        <f>K45</f>
        <v>47.459000000000003</v>
      </c>
    </row>
    <row r="63" spans="1:15" x14ac:dyDescent="0.35">
      <c r="A63" t="s">
        <v>95</v>
      </c>
      <c r="B63" s="6">
        <f>B61-B62</f>
        <v>4575.8254671196028</v>
      </c>
      <c r="C63" s="6">
        <f>C61-C62</f>
        <v>325.56383568888685</v>
      </c>
    </row>
    <row r="65" spans="1:5" x14ac:dyDescent="0.35">
      <c r="B65">
        <v>4575.8254671196028</v>
      </c>
    </row>
    <row r="69" spans="1:5" x14ac:dyDescent="0.35">
      <c r="A69" s="3" t="s">
        <v>167</v>
      </c>
    </row>
    <row r="73" spans="1:5" ht="15" thickBot="1" x14ac:dyDescent="0.4">
      <c r="A73" s="8" t="s">
        <v>0</v>
      </c>
      <c r="B73" s="8" t="s">
        <v>1</v>
      </c>
      <c r="C73" s="8" t="s">
        <v>118</v>
      </c>
      <c r="D73" s="8" t="s">
        <v>119</v>
      </c>
      <c r="E73" s="8" t="s">
        <v>120</v>
      </c>
    </row>
    <row r="74" spans="1:5" x14ac:dyDescent="0.35">
      <c r="A74" t="s">
        <v>148</v>
      </c>
      <c r="B74" s="36">
        <v>1</v>
      </c>
      <c r="C74" s="36">
        <v>0.85660000000000003</v>
      </c>
      <c r="D74" s="36">
        <v>0.7329</v>
      </c>
      <c r="E74" s="36">
        <v>0.7329</v>
      </c>
    </row>
    <row r="75" spans="1:5" x14ac:dyDescent="0.35">
      <c r="A75" t="s">
        <v>121</v>
      </c>
      <c r="B75" s="37">
        <f>B74*2.364</f>
        <v>2.3639999999999999</v>
      </c>
      <c r="C75" s="37">
        <f>0.1986*42.89</f>
        <v>8.5179539999999996</v>
      </c>
      <c r="D75" s="37">
        <f>D74*123.41</f>
        <v>90.447188999999995</v>
      </c>
      <c r="E75" s="37">
        <f>E74*131.48</f>
        <v>96.361691999999991</v>
      </c>
    </row>
    <row r="76" spans="1:5" x14ac:dyDescent="0.35">
      <c r="A76" t="s">
        <v>146</v>
      </c>
      <c r="B76" s="26">
        <v>1005.038256</v>
      </c>
      <c r="C76" s="26">
        <v>509.57253600000001</v>
      </c>
      <c r="D76" s="26">
        <v>220.22631999999999</v>
      </c>
      <c r="E76" s="26">
        <v>187.67294100000001</v>
      </c>
    </row>
    <row r="77" spans="1:5" x14ac:dyDescent="0.35">
      <c r="A77" t="s">
        <v>147</v>
      </c>
      <c r="B77" s="35">
        <f>B75*B76</f>
        <v>2375.9104371839999</v>
      </c>
      <c r="C77" s="35">
        <f>C75*C76</f>
        <v>4340.5154213113437</v>
      </c>
      <c r="D77" s="35">
        <f>D75*D76</f>
        <v>19918.851587814479</v>
      </c>
      <c r="E77" s="35">
        <f>E75*E76</f>
        <v>18084.48213737617</v>
      </c>
    </row>
    <row r="78" spans="1:5" x14ac:dyDescent="0.35">
      <c r="A78" t="s">
        <v>29</v>
      </c>
      <c r="B78" s="4">
        <f>B74*998</f>
        <v>998</v>
      </c>
      <c r="C78" s="4">
        <f>C74*627</f>
        <v>537.08820000000003</v>
      </c>
      <c r="D78" s="4">
        <f>D74*4565.881</f>
        <v>3346.3341849000003</v>
      </c>
      <c r="E78" s="4">
        <f>E74*2431.7</f>
        <v>1782.1929299999999</v>
      </c>
    </row>
    <row r="79" spans="1:5" x14ac:dyDescent="0.35">
      <c r="A79" t="s">
        <v>144</v>
      </c>
      <c r="B79" s="4">
        <f>B74*342</f>
        <v>342</v>
      </c>
      <c r="C79" s="4">
        <f>C74*464.357</f>
        <v>397.76820620000001</v>
      </c>
      <c r="D79" s="4">
        <f>D74*1138.501</f>
        <v>834.40738290000002</v>
      </c>
      <c r="E79" s="4">
        <f>E74*717.8</f>
        <v>526.07561999999996</v>
      </c>
    </row>
    <row r="80" spans="1:5" x14ac:dyDescent="0.35">
      <c r="A80" t="s">
        <v>140</v>
      </c>
      <c r="B80" s="4">
        <f>B78-B79</f>
        <v>656</v>
      </c>
      <c r="C80" s="4">
        <f>C78-C79</f>
        <v>139.31999380000002</v>
      </c>
      <c r="D80" s="4">
        <f>D78-D79</f>
        <v>2511.9268020000004</v>
      </c>
      <c r="E80" s="4">
        <f>E78-E79</f>
        <v>1256.1173100000001</v>
      </c>
    </row>
    <row r="81" spans="1:13" x14ac:dyDescent="0.35">
      <c r="A81" t="s">
        <v>145</v>
      </c>
      <c r="B81" s="4">
        <f>B77+B80</f>
        <v>3031.9104371839999</v>
      </c>
      <c r="C81" s="4">
        <f>C77+C80</f>
        <v>4479.8354151113435</v>
      </c>
      <c r="D81" s="4">
        <f>D77+D80</f>
        <v>22430.778389814481</v>
      </c>
      <c r="E81" s="4">
        <f>E77+E80</f>
        <v>19340.599447376171</v>
      </c>
      <c r="K81" s="5"/>
      <c r="L81" s="5"/>
      <c r="M81" s="5"/>
    </row>
    <row r="82" spans="1:13" x14ac:dyDescent="0.35">
      <c r="A82" t="s">
        <v>26</v>
      </c>
      <c r="B82" s="4">
        <f>B74*5775</f>
        <v>5775</v>
      </c>
      <c r="C82" s="4">
        <f>C74*4523.463</f>
        <v>3874.7984057999997</v>
      </c>
      <c r="D82" s="4">
        <f>D74*42724.369</f>
        <v>31312.690040099998</v>
      </c>
      <c r="E82" s="4">
        <f>E74*19411.8</f>
        <v>14226.908219999999</v>
      </c>
    </row>
    <row r="83" spans="1:13" x14ac:dyDescent="0.35">
      <c r="A83" t="s">
        <v>36</v>
      </c>
      <c r="B83" s="4">
        <f>B74*(374+297)</f>
        <v>671</v>
      </c>
      <c r="C83" s="4">
        <f>C74*(319.874+455.022)</f>
        <v>663.77591359999997</v>
      </c>
      <c r="D83" s="4">
        <f>D74*(2203.668+1046.318)</f>
        <v>2381.9147393999997</v>
      </c>
      <c r="E83" s="4">
        <f>E74*(1653.1+648.1)</f>
        <v>1686.5494799999999</v>
      </c>
    </row>
    <row r="85" spans="1:13" ht="15" thickBot="1" x14ac:dyDescent="0.4">
      <c r="A85" s="8" t="s">
        <v>132</v>
      </c>
      <c r="B85" s="7"/>
      <c r="C85" s="7"/>
      <c r="D85" s="7"/>
      <c r="E85" s="7"/>
    </row>
    <row r="86" spans="1:13" x14ac:dyDescent="0.35">
      <c r="A86" t="s">
        <v>123</v>
      </c>
      <c r="B86" s="26">
        <f>B81/B82</f>
        <v>0.52500613630891768</v>
      </c>
      <c r="C86" s="26">
        <f>C81/C82</f>
        <v>1.1561467064727013</v>
      </c>
      <c r="D86" s="26">
        <f>D81/D82</f>
        <v>0.71634785644698473</v>
      </c>
      <c r="E86" s="26">
        <f>E81/E82</f>
        <v>1.3594379852811176</v>
      </c>
    </row>
    <row r="87" spans="1:13" x14ac:dyDescent="0.35">
      <c r="A87" t="s">
        <v>124</v>
      </c>
      <c r="B87" s="26">
        <f>B81/B83</f>
        <v>4.5184954354456037</v>
      </c>
      <c r="C87" s="26">
        <f>C81/C83</f>
        <v>6.7490177382527783</v>
      </c>
      <c r="D87" s="26">
        <f>D81/D83</f>
        <v>9.4171206125811011</v>
      </c>
      <c r="E87" s="26">
        <f>E81/E83</f>
        <v>11.467555311437511</v>
      </c>
    </row>
    <row r="91" spans="1:13" x14ac:dyDescent="0.35">
      <c r="A91" s="3" t="s">
        <v>133</v>
      </c>
    </row>
    <row r="92" spans="1:13" ht="15" thickBot="1" x14ac:dyDescent="0.4">
      <c r="A92" s="8" t="s">
        <v>125</v>
      </c>
      <c r="B92" s="8" t="s">
        <v>123</v>
      </c>
      <c r="C92" s="8" t="s">
        <v>124</v>
      </c>
    </row>
    <row r="93" spans="1:13" x14ac:dyDescent="0.35">
      <c r="A93" t="s">
        <v>126</v>
      </c>
      <c r="B93" s="26">
        <f>MIN(B86:E86)</f>
        <v>0.52500613630891768</v>
      </c>
      <c r="C93" s="26">
        <f>MIN(B87:E87)</f>
        <v>4.5184954354456037</v>
      </c>
    </row>
    <row r="94" spans="1:13" x14ac:dyDescent="0.35">
      <c r="A94" t="s">
        <v>127</v>
      </c>
      <c r="B94" s="26">
        <f>_xlfn.QUARTILE.INC(B86:E86,1)</f>
        <v>0.668512426412468</v>
      </c>
      <c r="C94" s="26">
        <f>_xlfn.QUARTILE.INC(B87:E87,1)</f>
        <v>6.1913871625509849</v>
      </c>
    </row>
    <row r="95" spans="1:13" x14ac:dyDescent="0.35">
      <c r="A95" s="3" t="s">
        <v>128</v>
      </c>
      <c r="B95" s="26">
        <f>MEDIAN(B86:E86)</f>
        <v>0.93624728145984304</v>
      </c>
      <c r="C95" s="26">
        <f>MEDIAN(B87:E87)</f>
        <v>8.0830691754169397</v>
      </c>
    </row>
    <row r="96" spans="1:13" x14ac:dyDescent="0.35">
      <c r="A96" t="s">
        <v>129</v>
      </c>
      <c r="B96" s="26">
        <f>AVERAGE(B86:E86)</f>
        <v>0.93923467112743042</v>
      </c>
      <c r="C96" s="26">
        <f>AVERAGE(B87:E87)</f>
        <v>8.0380472744292497</v>
      </c>
    </row>
    <row r="97" spans="1:5" x14ac:dyDescent="0.35">
      <c r="A97" t="s">
        <v>130</v>
      </c>
      <c r="B97" s="26">
        <f>_xlfn.QUARTILE.INC(B86:E86,3)</f>
        <v>1.2069695261748055</v>
      </c>
      <c r="C97" s="26">
        <f>_xlfn.QUARTILE.INC(B87:E87,3)</f>
        <v>9.9297292872952028</v>
      </c>
    </row>
    <row r="98" spans="1:5" x14ac:dyDescent="0.35">
      <c r="A98" t="s">
        <v>131</v>
      </c>
      <c r="B98" s="26">
        <f>MAX(B86:E86)</f>
        <v>1.3594379852811176</v>
      </c>
      <c r="C98" s="26">
        <f>MAX(B87:E87)</f>
        <v>11.467555311437511</v>
      </c>
    </row>
    <row r="102" spans="1:5" ht="15" thickBot="1" x14ac:dyDescent="0.4">
      <c r="A102" s="8" t="s">
        <v>134</v>
      </c>
      <c r="B102" s="8" t="s">
        <v>135</v>
      </c>
      <c r="C102" s="8" t="s">
        <v>98</v>
      </c>
      <c r="D102" s="33" t="s">
        <v>136</v>
      </c>
      <c r="E102" s="32"/>
    </row>
    <row r="103" spans="1:5" x14ac:dyDescent="0.35">
      <c r="A103" s="32"/>
      <c r="B103" s="32"/>
      <c r="C103" s="32"/>
      <c r="D103" s="32"/>
      <c r="E103" s="32"/>
    </row>
    <row r="104" spans="1:5" ht="15" thickBot="1" x14ac:dyDescent="0.4">
      <c r="A104" s="8" t="s">
        <v>137</v>
      </c>
      <c r="B104" s="19"/>
      <c r="C104" s="19"/>
      <c r="D104" s="19"/>
      <c r="E104" s="32"/>
    </row>
    <row r="105" spans="1:5" x14ac:dyDescent="0.35">
      <c r="A105" s="32" t="s">
        <v>154</v>
      </c>
      <c r="B105" s="34">
        <f>'Poundland Operating Model'!K15</f>
        <v>1471.6193499999999</v>
      </c>
      <c r="C105" s="34">
        <f>'Poundland Operating Model'!K15</f>
        <v>1471.6193499999999</v>
      </c>
      <c r="D105" s="34">
        <f>'Poundland Operating Model'!K15</f>
        <v>1471.6193499999999</v>
      </c>
      <c r="E105" s="32"/>
    </row>
    <row r="106" spans="1:5" x14ac:dyDescent="0.35">
      <c r="A106" s="32" t="s">
        <v>138</v>
      </c>
      <c r="B106" s="38">
        <f>B93-0.5*(B94-B93)</f>
        <v>0.45325299125714252</v>
      </c>
      <c r="C106" s="38">
        <f>B93</f>
        <v>0.52500613630891768</v>
      </c>
      <c r="D106" s="38">
        <f>B93+0.5*(B94-B93)</f>
        <v>0.59675928136069278</v>
      </c>
      <c r="E106" s="32"/>
    </row>
    <row r="107" spans="1:5" x14ac:dyDescent="0.35">
      <c r="A107" s="32" t="s">
        <v>139</v>
      </c>
      <c r="B107" s="34">
        <f>B105*B106</f>
        <v>667.01587237939168</v>
      </c>
      <c r="C107" s="34">
        <f>C105*C106</f>
        <v>772.60918906094082</v>
      </c>
      <c r="D107" s="34">
        <f>D105*D106</f>
        <v>878.20250574248985</v>
      </c>
      <c r="E107" s="32"/>
    </row>
    <row r="108" spans="1:5" x14ac:dyDescent="0.35">
      <c r="A108" s="32" t="s">
        <v>140</v>
      </c>
      <c r="B108" s="34">
        <f>'Poundland Operating Model'!F20</f>
        <v>47.459000000000003</v>
      </c>
      <c r="C108" s="34">
        <f>'Poundland Operating Model'!F20</f>
        <v>47.459000000000003</v>
      </c>
      <c r="D108" s="34">
        <f>'Poundland Operating Model'!F20</f>
        <v>47.459000000000003</v>
      </c>
      <c r="E108" s="32"/>
    </row>
    <row r="109" spans="1:5" x14ac:dyDescent="0.35">
      <c r="A109" s="32" t="s">
        <v>141</v>
      </c>
      <c r="B109" s="34">
        <f>B107-B108</f>
        <v>619.55687237939173</v>
      </c>
      <c r="C109" s="34">
        <f>C107-C108</f>
        <v>725.15018906094087</v>
      </c>
      <c r="D109" s="34">
        <f>D107-D108</f>
        <v>830.74350574248979</v>
      </c>
      <c r="E109" s="32"/>
    </row>
    <row r="110" spans="1:5" x14ac:dyDescent="0.35">
      <c r="A110" s="32"/>
      <c r="B110" s="32"/>
      <c r="C110" s="32"/>
      <c r="D110" s="32"/>
      <c r="E110" s="32"/>
    </row>
    <row r="111" spans="1:5" ht="15" thickBot="1" x14ac:dyDescent="0.4">
      <c r="A111" s="8" t="s">
        <v>142</v>
      </c>
      <c r="B111" s="19"/>
      <c r="C111" s="19"/>
      <c r="D111" s="19"/>
      <c r="E111" s="32"/>
    </row>
    <row r="112" spans="1:5" x14ac:dyDescent="0.35">
      <c r="A112" s="32" t="s">
        <v>155</v>
      </c>
      <c r="B112" s="34">
        <f>'Poundland Operating Model'!K17</f>
        <v>51.506677250000003</v>
      </c>
      <c r="C112" s="34">
        <f>'Poundland Operating Model'!K17</f>
        <v>51.506677250000003</v>
      </c>
      <c r="D112" s="34">
        <f>'Poundland Operating Model'!K17</f>
        <v>51.506677250000003</v>
      </c>
      <c r="E112" s="32"/>
    </row>
    <row r="113" spans="1:13" x14ac:dyDescent="0.35">
      <c r="A113" s="32" t="s">
        <v>143</v>
      </c>
      <c r="B113" s="39">
        <f>C93-0.5*(C94-C93)</f>
        <v>3.6820495718929132</v>
      </c>
      <c r="C113" s="39">
        <f>C93</f>
        <v>4.5184954354456037</v>
      </c>
      <c r="D113" s="39">
        <f>C93+0.5*(C94-C93)</f>
        <v>5.3549412989982947</v>
      </c>
      <c r="E113" s="32"/>
    </row>
    <row r="114" spans="1:13" x14ac:dyDescent="0.35">
      <c r="A114" t="s">
        <v>139</v>
      </c>
      <c r="B114" s="4">
        <f>B112*B113</f>
        <v>189.65013891798895</v>
      </c>
      <c r="C114" s="4">
        <f>C112*C113</f>
        <v>232.73268604909492</v>
      </c>
      <c r="D114" s="4">
        <f>D112*D113</f>
        <v>275.81523318020095</v>
      </c>
    </row>
    <row r="115" spans="1:13" x14ac:dyDescent="0.35">
      <c r="A115" t="s">
        <v>140</v>
      </c>
      <c r="B115" s="4">
        <f>'Poundland Operating Model'!F20</f>
        <v>47.459000000000003</v>
      </c>
      <c r="C115" s="4">
        <f>'Poundland Operating Model'!F20</f>
        <v>47.459000000000003</v>
      </c>
      <c r="D115" s="4">
        <f>'Poundland Operating Model'!F20</f>
        <v>47.459000000000003</v>
      </c>
    </row>
    <row r="116" spans="1:13" x14ac:dyDescent="0.35">
      <c r="A116" t="s">
        <v>141</v>
      </c>
      <c r="B116" s="4">
        <f>B114-B115</f>
        <v>142.19113891798895</v>
      </c>
      <c r="C116" s="4">
        <f>C114-C115</f>
        <v>185.27368604909492</v>
      </c>
      <c r="D116" s="4">
        <f>D114-D115</f>
        <v>228.35623318020095</v>
      </c>
    </row>
    <row r="120" spans="1:13" ht="15" thickBot="1" x14ac:dyDescent="0.4">
      <c r="A120" s="8" t="s">
        <v>354</v>
      </c>
      <c r="B120" s="8" t="s">
        <v>135</v>
      </c>
      <c r="C120" s="8" t="s">
        <v>98</v>
      </c>
      <c r="D120" s="8" t="s">
        <v>136</v>
      </c>
      <c r="G120" s="9"/>
      <c r="H120" s="9"/>
      <c r="I120" s="9"/>
      <c r="J120" s="9"/>
      <c r="K120" s="9"/>
      <c r="L120" s="9"/>
      <c r="M120" s="9"/>
    </row>
    <row r="121" spans="1:13" x14ac:dyDescent="0.35">
      <c r="A121" t="s">
        <v>175</v>
      </c>
      <c r="B121" s="6">
        <f>N53</f>
        <v>290.94162329899069</v>
      </c>
      <c r="C121" s="6">
        <f>M54</f>
        <v>373.02283568888686</v>
      </c>
      <c r="D121" s="6">
        <f>L55</f>
        <v>520.43901794098213</v>
      </c>
      <c r="G121" s="43"/>
      <c r="H121" s="43"/>
      <c r="I121" s="43"/>
      <c r="J121" s="43"/>
      <c r="K121" s="43"/>
      <c r="L121" s="43"/>
      <c r="M121" s="43"/>
    </row>
    <row r="122" spans="1:13" x14ac:dyDescent="0.35">
      <c r="A122" t="s">
        <v>176</v>
      </c>
      <c r="B122" s="6">
        <f>B121-K45</f>
        <v>243.48262329899069</v>
      </c>
      <c r="C122" s="6">
        <f>C121-K45</f>
        <v>325.56383568888685</v>
      </c>
      <c r="D122" s="6">
        <f>D121-K45</f>
        <v>472.98001794098212</v>
      </c>
      <c r="G122" s="43"/>
      <c r="H122" s="43"/>
      <c r="I122" s="43"/>
      <c r="J122" s="43"/>
      <c r="K122" s="43"/>
      <c r="L122" s="43"/>
      <c r="M122" s="43"/>
    </row>
    <row r="123" spans="1:13" x14ac:dyDescent="0.35">
      <c r="A123" t="s">
        <v>177</v>
      </c>
      <c r="B123" s="4">
        <f>0.3*B107+0.7*B114</f>
        <v>332.85985895640977</v>
      </c>
      <c r="C123" s="4">
        <f>0.3*C107+0.7*C114</f>
        <v>394.69563695264867</v>
      </c>
      <c r="D123" s="4">
        <f>0.3*D107+0.7*D114</f>
        <v>456.53141494888757</v>
      </c>
      <c r="G123" s="43"/>
      <c r="H123" s="43"/>
      <c r="I123" s="43"/>
      <c r="J123" s="43"/>
      <c r="K123" s="43"/>
      <c r="L123" s="43"/>
      <c r="M123" s="43"/>
    </row>
    <row r="124" spans="1:13" x14ac:dyDescent="0.35">
      <c r="A124" t="s">
        <v>178</v>
      </c>
      <c r="B124" s="4">
        <f>0.3*B109+0.7*B116</f>
        <v>285.40085895640976</v>
      </c>
      <c r="C124" s="4">
        <f>0.3*C109+0.7*C116</f>
        <v>347.23663695264872</v>
      </c>
      <c r="D124" s="4">
        <f>0.3*D109+0.7*D116</f>
        <v>409.07241494888757</v>
      </c>
    </row>
    <row r="125" spans="1:13" x14ac:dyDescent="0.35">
      <c r="A125" t="s">
        <v>355</v>
      </c>
      <c r="B125" s="6">
        <f>(B122+B124)/2</f>
        <v>264.4417411277002</v>
      </c>
      <c r="C125" s="6">
        <f t="shared" ref="C125:D125" si="12">(C122+C124)/2</f>
        <v>336.40023632076782</v>
      </c>
      <c r="D125" s="6">
        <f t="shared" si="12"/>
        <v>441.02621644493485</v>
      </c>
    </row>
    <row r="129" spans="1:6" ht="15" thickBot="1" x14ac:dyDescent="0.4">
      <c r="A129" s="8" t="s">
        <v>2</v>
      </c>
      <c r="B129" s="7"/>
      <c r="C129" s="7"/>
      <c r="D129" s="7"/>
      <c r="E129" s="7"/>
      <c r="F129" s="7"/>
    </row>
    <row r="130" spans="1:6" x14ac:dyDescent="0.35">
      <c r="A130" t="s">
        <v>157</v>
      </c>
      <c r="B130" s="44" t="s">
        <v>160</v>
      </c>
      <c r="C130" s="44"/>
      <c r="D130" s="44"/>
      <c r="E130" s="44"/>
      <c r="F130" s="44"/>
    </row>
    <row r="131" spans="1:6" x14ac:dyDescent="0.35">
      <c r="A131" t="s">
        <v>158</v>
      </c>
      <c r="B131" s="42" t="s">
        <v>160</v>
      </c>
      <c r="C131" s="42"/>
      <c r="D131" s="42"/>
      <c r="E131" s="42"/>
      <c r="F131" s="42"/>
    </row>
    <row r="132" spans="1:6" x14ac:dyDescent="0.35">
      <c r="A132" t="s">
        <v>159</v>
      </c>
      <c r="B132" s="42" t="s">
        <v>161</v>
      </c>
      <c r="C132" s="42"/>
      <c r="D132" s="42"/>
      <c r="E132" s="42"/>
      <c r="F132" s="42"/>
    </row>
    <row r="133" spans="1:6" x14ac:dyDescent="0.35">
      <c r="A133" t="s">
        <v>356</v>
      </c>
      <c r="B133" s="40" t="s">
        <v>374</v>
      </c>
      <c r="C133" s="40"/>
      <c r="D133" s="40"/>
      <c r="E133" s="40"/>
      <c r="F133" s="40"/>
    </row>
  </sheetData>
  <mergeCells count="24">
    <mergeCell ref="B131:F131"/>
    <mergeCell ref="B132:F132"/>
    <mergeCell ref="B133:F133"/>
    <mergeCell ref="L19:O19"/>
    <mergeCell ref="L20:O20"/>
    <mergeCell ref="B130:F130"/>
    <mergeCell ref="L13:O13"/>
    <mergeCell ref="L14:O14"/>
    <mergeCell ref="L15:O15"/>
    <mergeCell ref="L16:O16"/>
    <mergeCell ref="L17:O17"/>
    <mergeCell ref="L18:O18"/>
    <mergeCell ref="C14:F14"/>
    <mergeCell ref="C15:F15"/>
    <mergeCell ref="C16:F16"/>
    <mergeCell ref="C17:F17"/>
    <mergeCell ref="C18:F18"/>
    <mergeCell ref="C19:F19"/>
    <mergeCell ref="C6:F6"/>
    <mergeCell ref="C7:F7"/>
    <mergeCell ref="C10:F10"/>
    <mergeCell ref="C8:F8"/>
    <mergeCell ref="C9:F9"/>
    <mergeCell ref="C13:F13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C593-A5A7-40F2-A1EC-146A6D6F432A}">
  <sheetPr>
    <pageSetUpPr autoPageBreaks="0"/>
  </sheetPr>
  <dimension ref="A1:H241"/>
  <sheetViews>
    <sheetView showGridLines="0" zoomScale="66" zoomScaleNormal="66" workbookViewId="0">
      <selection activeCell="C8" sqref="C8:G8"/>
    </sheetView>
  </sheetViews>
  <sheetFormatPr defaultRowHeight="14.5" x14ac:dyDescent="0.35"/>
  <cols>
    <col min="1" max="1" width="46.6328125" bestFit="1" customWidth="1"/>
    <col min="2" max="8" width="14.6328125" customWidth="1"/>
  </cols>
  <sheetData>
    <row r="1" spans="1:7" x14ac:dyDescent="0.35">
      <c r="A1" s="3" t="s">
        <v>162</v>
      </c>
    </row>
    <row r="5" spans="1:7" ht="15" thickBot="1" x14ac:dyDescent="0.4">
      <c r="A5" s="8" t="s">
        <v>168</v>
      </c>
      <c r="B5" s="8" t="s">
        <v>100</v>
      </c>
      <c r="C5" s="8" t="s">
        <v>82</v>
      </c>
      <c r="D5" s="7"/>
      <c r="E5" s="7"/>
      <c r="F5" s="7"/>
      <c r="G5" s="7"/>
    </row>
    <row r="6" spans="1:7" x14ac:dyDescent="0.35">
      <c r="A6" t="s">
        <v>169</v>
      </c>
      <c r="B6" s="2">
        <v>46255</v>
      </c>
      <c r="C6" s="40"/>
      <c r="D6" s="40"/>
      <c r="E6" s="40"/>
      <c r="F6" s="40"/>
      <c r="G6" s="40"/>
    </row>
    <row r="7" spans="1:7" x14ac:dyDescent="0.35">
      <c r="A7" t="s">
        <v>170</v>
      </c>
      <c r="B7" t="s">
        <v>1</v>
      </c>
      <c r="C7" s="40"/>
      <c r="D7" s="40"/>
      <c r="E7" s="40"/>
      <c r="F7" s="40"/>
      <c r="G7" s="40"/>
    </row>
    <row r="8" spans="1:7" x14ac:dyDescent="0.35">
      <c r="A8" t="s">
        <v>171</v>
      </c>
      <c r="B8" t="s">
        <v>3</v>
      </c>
      <c r="C8" s="40"/>
      <c r="D8" s="40"/>
      <c r="E8" s="40"/>
      <c r="F8" s="40"/>
      <c r="G8" s="40"/>
    </row>
    <row r="9" spans="1:7" x14ac:dyDescent="0.35">
      <c r="A9" t="s">
        <v>172</v>
      </c>
      <c r="B9" t="s">
        <v>367</v>
      </c>
      <c r="C9" s="40"/>
      <c r="D9" s="40"/>
      <c r="E9" s="40"/>
      <c r="F9" s="40"/>
      <c r="G9" s="40"/>
    </row>
    <row r="10" spans="1:7" x14ac:dyDescent="0.35">
      <c r="A10" t="s">
        <v>179</v>
      </c>
      <c r="B10" s="6">
        <f>Valuation!C125</f>
        <v>336.40023632076782</v>
      </c>
      <c r="C10" s="40"/>
      <c r="D10" s="40"/>
      <c r="E10" s="40"/>
      <c r="F10" s="40"/>
      <c r="G10" s="40"/>
    </row>
    <row r="11" spans="1:7" x14ac:dyDescent="0.35">
      <c r="A11" t="s">
        <v>173</v>
      </c>
      <c r="B11" s="5">
        <v>0.15</v>
      </c>
      <c r="C11" s="40" t="s">
        <v>382</v>
      </c>
      <c r="D11" s="40"/>
      <c r="E11" s="40"/>
      <c r="F11" s="40"/>
      <c r="G11" s="40"/>
    </row>
    <row r="12" spans="1:7" x14ac:dyDescent="0.35">
      <c r="A12" t="s">
        <v>357</v>
      </c>
      <c r="B12" s="6">
        <f>B10*(1+B11)</f>
        <v>386.86027176888297</v>
      </c>
      <c r="C12" s="40"/>
      <c r="D12" s="40"/>
      <c r="E12" s="40"/>
      <c r="F12" s="40"/>
      <c r="G12" s="40"/>
    </row>
    <row r="13" spans="1:7" x14ac:dyDescent="0.35">
      <c r="A13" t="s">
        <v>273</v>
      </c>
      <c r="B13" s="6">
        <f>'Poundland Operating Model'!F20</f>
        <v>47.459000000000003</v>
      </c>
      <c r="C13" s="40"/>
      <c r="D13" s="40"/>
      <c r="E13" s="40"/>
      <c r="F13" s="40"/>
      <c r="G13" s="40"/>
    </row>
    <row r="14" spans="1:7" x14ac:dyDescent="0.35">
      <c r="A14" t="s">
        <v>231</v>
      </c>
      <c r="B14" s="6">
        <f>B12+B13</f>
        <v>434.31927176888297</v>
      </c>
      <c r="C14" s="40"/>
      <c r="D14" s="40"/>
      <c r="E14" s="40"/>
      <c r="F14" s="40"/>
      <c r="G14" s="40"/>
    </row>
    <row r="15" spans="1:7" x14ac:dyDescent="0.35">
      <c r="A15" t="s">
        <v>368</v>
      </c>
      <c r="B15" s="6">
        <f>0.01*B12</f>
        <v>3.8686027176888298</v>
      </c>
      <c r="C15" s="40" t="s">
        <v>375</v>
      </c>
      <c r="D15" s="40"/>
      <c r="E15" s="40"/>
      <c r="F15" s="40"/>
      <c r="G15" s="40"/>
    </row>
    <row r="16" spans="1:7" x14ac:dyDescent="0.35">
      <c r="A16" t="s">
        <v>369</v>
      </c>
      <c r="B16" s="6">
        <f>B14+B15</f>
        <v>438.18787448657179</v>
      </c>
      <c r="C16" s="40"/>
      <c r="D16" s="40"/>
      <c r="E16" s="40"/>
      <c r="F16" s="40"/>
      <c r="G16" s="40"/>
    </row>
    <row r="20" spans="1:8" x14ac:dyDescent="0.35">
      <c r="A20" s="3" t="s">
        <v>232</v>
      </c>
    </row>
    <row r="21" spans="1:8" ht="15" thickBot="1" x14ac:dyDescent="0.4">
      <c r="A21" s="8" t="s">
        <v>173</v>
      </c>
      <c r="B21" s="29">
        <v>0</v>
      </c>
      <c r="C21" s="29">
        <v>0.05</v>
      </c>
      <c r="D21" s="29">
        <v>0.1</v>
      </c>
      <c r="E21" s="29">
        <v>0.15</v>
      </c>
      <c r="F21" s="29">
        <v>0.2</v>
      </c>
      <c r="G21" s="29">
        <v>0.25</v>
      </c>
      <c r="H21" s="29">
        <v>0.3</v>
      </c>
    </row>
    <row r="22" spans="1:8" x14ac:dyDescent="0.35">
      <c r="A22" t="s">
        <v>180</v>
      </c>
      <c r="B22" s="6">
        <f>B10</f>
        <v>336.40023632076782</v>
      </c>
      <c r="C22" s="6">
        <f>B10</f>
        <v>336.40023632076782</v>
      </c>
      <c r="D22" s="6">
        <f>B10</f>
        <v>336.40023632076782</v>
      </c>
      <c r="E22" s="47">
        <f>B10</f>
        <v>336.40023632076782</v>
      </c>
      <c r="F22" s="6">
        <f>B10</f>
        <v>336.40023632076782</v>
      </c>
      <c r="G22" s="6">
        <f>B10</f>
        <v>336.40023632076782</v>
      </c>
      <c r="H22" s="6">
        <f>B10</f>
        <v>336.40023632076782</v>
      </c>
    </row>
    <row r="23" spans="1:8" x14ac:dyDescent="0.35">
      <c r="A23" t="s">
        <v>357</v>
      </c>
      <c r="B23" s="6">
        <f>B22*(1+B21)</f>
        <v>336.40023632076782</v>
      </c>
      <c r="C23" s="6">
        <f t="shared" ref="C23:H23" si="0">C22*(1+C21)</f>
        <v>353.22024813680622</v>
      </c>
      <c r="D23" s="6">
        <f t="shared" si="0"/>
        <v>370.04025995284462</v>
      </c>
      <c r="E23" s="47">
        <f t="shared" si="0"/>
        <v>386.86027176888297</v>
      </c>
      <c r="F23" s="6">
        <f t="shared" si="0"/>
        <v>403.68028358492137</v>
      </c>
      <c r="G23" s="6">
        <f t="shared" si="0"/>
        <v>420.50029540095977</v>
      </c>
      <c r="H23" s="6">
        <f>H22*(1+H21)</f>
        <v>437.32030721699817</v>
      </c>
    </row>
    <row r="24" spans="1:8" x14ac:dyDescent="0.35">
      <c r="A24" t="s">
        <v>273</v>
      </c>
      <c r="B24" s="6">
        <f>B13</f>
        <v>47.459000000000003</v>
      </c>
      <c r="C24" s="6">
        <f>B13</f>
        <v>47.459000000000003</v>
      </c>
      <c r="D24" s="6">
        <f>B13</f>
        <v>47.459000000000003</v>
      </c>
      <c r="E24" s="47">
        <f>B13</f>
        <v>47.459000000000003</v>
      </c>
      <c r="F24" s="6">
        <f>B13</f>
        <v>47.459000000000003</v>
      </c>
      <c r="G24" s="6">
        <f>B13</f>
        <v>47.459000000000003</v>
      </c>
      <c r="H24" s="6">
        <f>B13</f>
        <v>47.459000000000003</v>
      </c>
    </row>
    <row r="25" spans="1:8" x14ac:dyDescent="0.35">
      <c r="A25" t="s">
        <v>274</v>
      </c>
      <c r="B25" s="6">
        <f>B23+B24</f>
        <v>383.85923632076782</v>
      </c>
      <c r="C25" s="6">
        <f t="shared" ref="C25:H25" si="1">C23+C24</f>
        <v>400.67924813680622</v>
      </c>
      <c r="D25" s="6">
        <f t="shared" si="1"/>
        <v>417.49925995284462</v>
      </c>
      <c r="E25" s="47">
        <f t="shared" si="1"/>
        <v>434.31927176888297</v>
      </c>
      <c r="F25" s="6">
        <f t="shared" si="1"/>
        <v>451.13928358492137</v>
      </c>
      <c r="G25" s="6">
        <f t="shared" si="1"/>
        <v>467.95929540095977</v>
      </c>
      <c r="H25" s="6">
        <f>H23+H24</f>
        <v>484.77930721699818</v>
      </c>
    </row>
    <row r="26" spans="1:8" x14ac:dyDescent="0.35">
      <c r="A26" t="s">
        <v>174</v>
      </c>
      <c r="B26" s="6">
        <f>0.01*B23</f>
        <v>3.3640023632076783</v>
      </c>
      <c r="C26" s="6">
        <f t="shared" ref="C26:G26" si="2">0.01*C23</f>
        <v>3.5322024813680621</v>
      </c>
      <c r="D26" s="6">
        <f t="shared" si="2"/>
        <v>3.7004025995284464</v>
      </c>
      <c r="E26" s="47">
        <f t="shared" si="2"/>
        <v>3.8686027176888298</v>
      </c>
      <c r="F26" s="6">
        <f t="shared" si="2"/>
        <v>4.0368028358492136</v>
      </c>
      <c r="G26" s="6">
        <f t="shared" si="2"/>
        <v>4.2050029540095979</v>
      </c>
      <c r="H26" s="6">
        <f>0.01*H23</f>
        <v>4.3732030721699822</v>
      </c>
    </row>
    <row r="27" spans="1:8" x14ac:dyDescent="0.35">
      <c r="A27" t="s">
        <v>369</v>
      </c>
      <c r="B27" s="6">
        <f>B25+B26</f>
        <v>387.22323868397552</v>
      </c>
      <c r="C27" s="6">
        <f t="shared" ref="C27:H27" si="3">C25+C26</f>
        <v>404.2114506181743</v>
      </c>
      <c r="D27" s="6">
        <f t="shared" si="3"/>
        <v>421.19966255237307</v>
      </c>
      <c r="E27" s="47">
        <f t="shared" si="3"/>
        <v>438.18787448657179</v>
      </c>
      <c r="F27" s="6">
        <f t="shared" si="3"/>
        <v>455.17608642077056</v>
      </c>
      <c r="G27" s="6">
        <f t="shared" si="3"/>
        <v>472.16429835496939</v>
      </c>
      <c r="H27" s="6">
        <f>H25+H26</f>
        <v>489.15251028916816</v>
      </c>
    </row>
    <row r="28" spans="1:8" x14ac:dyDescent="0.35">
      <c r="A28" t="s">
        <v>376</v>
      </c>
      <c r="B28" s="26">
        <f>B25/'Poundland Operating Model'!K15</f>
        <v>0.26084138967102316</v>
      </c>
      <c r="C28" s="26">
        <f>C25/'Poundland Operating Model'!K15</f>
        <v>0.27227098375460085</v>
      </c>
      <c r="D28" s="26">
        <f>D25/'Poundland Operating Model'!K15</f>
        <v>0.28370057783817848</v>
      </c>
      <c r="E28" s="48">
        <f>E25/'Poundland Operating Model'!K15</f>
        <v>0.29513017192175611</v>
      </c>
      <c r="F28" s="26">
        <f>F25/'Poundland Operating Model'!K15</f>
        <v>0.3065597660053338</v>
      </c>
      <c r="G28" s="26">
        <f>G25/'Poundland Operating Model'!K15</f>
        <v>0.31798936008891143</v>
      </c>
      <c r="H28" s="26">
        <f>H25/'Poundland Operating Model'!K15</f>
        <v>0.32941895417248912</v>
      </c>
    </row>
    <row r="29" spans="1:8" x14ac:dyDescent="0.35">
      <c r="A29" t="s">
        <v>377</v>
      </c>
      <c r="B29" s="26">
        <f>B25/'Poundland Operating Model'!K17</f>
        <v>7.452611133457804</v>
      </c>
      <c r="C29" s="26">
        <f>C25/'Poundland Operating Model'!K17</f>
        <v>7.7791709644171663</v>
      </c>
      <c r="D29" s="26">
        <f>D25/'Poundland Operating Model'!K17</f>
        <v>8.1057307953765285</v>
      </c>
      <c r="E29" s="48">
        <f>E25/'Poundland Operating Model'!K17</f>
        <v>8.4322906263358881</v>
      </c>
      <c r="F29" s="26">
        <f>F25/'Poundland Operating Model'!K17</f>
        <v>8.7588504572952495</v>
      </c>
      <c r="G29" s="26">
        <f>G25/'Poundland Operating Model'!K17</f>
        <v>9.0854102882546108</v>
      </c>
      <c r="H29" s="26">
        <f>H25/'Poundland Operating Model'!K17</f>
        <v>9.411970119213974</v>
      </c>
    </row>
    <row r="31" spans="1:8" x14ac:dyDescent="0.35">
      <c r="B31" s="14"/>
      <c r="C31" s="14"/>
      <c r="D31" s="14"/>
      <c r="E31" s="14"/>
      <c r="F31" s="14"/>
      <c r="G31" s="14"/>
    </row>
    <row r="33" spans="1:7" x14ac:dyDescent="0.35">
      <c r="A33" s="3" t="s">
        <v>262</v>
      </c>
    </row>
    <row r="34" spans="1:7" ht="15" thickBot="1" x14ac:dyDescent="0.4">
      <c r="A34" s="8" t="s">
        <v>181</v>
      </c>
      <c r="B34" s="8" t="s">
        <v>100</v>
      </c>
      <c r="C34" s="8" t="s">
        <v>378</v>
      </c>
      <c r="D34" s="7"/>
      <c r="E34" s="7"/>
      <c r="F34" s="7"/>
      <c r="G34" s="7"/>
    </row>
    <row r="35" spans="1:7" x14ac:dyDescent="0.35">
      <c r="A35" t="s">
        <v>182</v>
      </c>
      <c r="B35" s="5">
        <v>0.5</v>
      </c>
      <c r="C35" s="41" t="s">
        <v>426</v>
      </c>
      <c r="D35" s="41"/>
      <c r="E35" s="41"/>
      <c r="F35" s="41"/>
      <c r="G35" s="41"/>
    </row>
    <row r="36" spans="1:7" x14ac:dyDescent="0.35">
      <c r="A36" t="s">
        <v>183</v>
      </c>
      <c r="B36" s="5">
        <f>1-B35</f>
        <v>0.5</v>
      </c>
      <c r="C36" s="40" t="s">
        <v>425</v>
      </c>
      <c r="D36" s="40"/>
      <c r="E36" s="40"/>
      <c r="F36" s="40"/>
      <c r="G36" s="40"/>
    </row>
    <row r="37" spans="1:7" x14ac:dyDescent="0.35">
      <c r="A37" t="s">
        <v>184</v>
      </c>
      <c r="B37" s="5">
        <v>0</v>
      </c>
      <c r="C37" s="40" t="s">
        <v>380</v>
      </c>
      <c r="D37" s="40"/>
      <c r="E37" s="40"/>
      <c r="F37" s="40"/>
      <c r="G37" s="40"/>
    </row>
    <row r="38" spans="1:7" x14ac:dyDescent="0.35">
      <c r="A38" t="s">
        <v>185</v>
      </c>
      <c r="B38" s="5">
        <f>SUM(B35:B37)</f>
        <v>1</v>
      </c>
      <c r="C38" s="40"/>
      <c r="D38" s="40"/>
      <c r="E38" s="40"/>
      <c r="F38" s="40"/>
      <c r="G38" s="40"/>
    </row>
    <row r="39" spans="1:7" x14ac:dyDescent="0.35">
      <c r="A39" t="s">
        <v>191</v>
      </c>
      <c r="B39" s="23">
        <f>Valuation!B14</f>
        <v>6.6699999999999995E-2</v>
      </c>
      <c r="C39" s="40" t="s">
        <v>379</v>
      </c>
      <c r="D39" s="40"/>
      <c r="E39" s="40"/>
      <c r="F39" s="40"/>
      <c r="G39" s="40"/>
    </row>
    <row r="40" spans="1:7" x14ac:dyDescent="0.35">
      <c r="A40" t="s">
        <v>366</v>
      </c>
      <c r="B40" s="23">
        <v>0.01</v>
      </c>
      <c r="C40" s="40" t="s">
        <v>381</v>
      </c>
      <c r="D40" s="40"/>
      <c r="E40" s="40"/>
      <c r="F40" s="40"/>
      <c r="G40" s="40"/>
    </row>
    <row r="42" spans="1:7" ht="15" thickBot="1" x14ac:dyDescent="0.4">
      <c r="A42" s="8" t="s">
        <v>275</v>
      </c>
      <c r="B42" s="8" t="s">
        <v>100</v>
      </c>
    </row>
    <row r="43" spans="1:7" x14ac:dyDescent="0.35">
      <c r="A43" t="s">
        <v>187</v>
      </c>
      <c r="B43" s="6">
        <f>B16*B35</f>
        <v>219.09393724328589</v>
      </c>
    </row>
    <row r="44" spans="1:7" x14ac:dyDescent="0.35">
      <c r="A44" t="s">
        <v>186</v>
      </c>
      <c r="B44" s="6">
        <f>B16*B36</f>
        <v>219.09393724328589</v>
      </c>
    </row>
    <row r="45" spans="1:7" x14ac:dyDescent="0.35">
      <c r="A45" t="s">
        <v>189</v>
      </c>
      <c r="B45" s="6">
        <f>B16*B37</f>
        <v>0</v>
      </c>
    </row>
    <row r="46" spans="1:7" x14ac:dyDescent="0.35">
      <c r="A46" t="s">
        <v>190</v>
      </c>
      <c r="B46" s="26">
        <f>B37/Valuation!B75</f>
        <v>0</v>
      </c>
    </row>
    <row r="47" spans="1:7" x14ac:dyDescent="0.35">
      <c r="A47" t="s">
        <v>194</v>
      </c>
      <c r="B47" s="6">
        <f>B44*B39</f>
        <v>14.613565614127168</v>
      </c>
    </row>
    <row r="48" spans="1:7" x14ac:dyDescent="0.35">
      <c r="A48" t="s">
        <v>192</v>
      </c>
      <c r="B48" s="6">
        <f>B44*B40</f>
        <v>2.190939372432859</v>
      </c>
    </row>
    <row r="50" spans="1:3" ht="15" thickBot="1" x14ac:dyDescent="0.4">
      <c r="A50" s="8" t="s">
        <v>276</v>
      </c>
      <c r="B50" s="8" t="s">
        <v>424</v>
      </c>
      <c r="C50" s="8" t="s">
        <v>193</v>
      </c>
    </row>
    <row r="51" spans="1:3" x14ac:dyDescent="0.35">
      <c r="A51" t="s">
        <v>20</v>
      </c>
      <c r="B51" s="6">
        <v>342</v>
      </c>
      <c r="C51" s="6">
        <f>B51-B43</f>
        <v>122.90606275671411</v>
      </c>
    </row>
    <row r="52" spans="1:3" x14ac:dyDescent="0.35">
      <c r="A52" t="s">
        <v>122</v>
      </c>
      <c r="B52" s="6">
        <v>998</v>
      </c>
      <c r="C52" s="6">
        <f>B52+B44</f>
        <v>1217.0939372432858</v>
      </c>
    </row>
    <row r="53" spans="1:3" x14ac:dyDescent="0.35">
      <c r="A53" t="s">
        <v>21</v>
      </c>
      <c r="B53" s="6">
        <f>B52-B51</f>
        <v>656</v>
      </c>
      <c r="C53" s="6">
        <f>C52-C51</f>
        <v>1094.1878744865717</v>
      </c>
    </row>
    <row r="54" spans="1:3" x14ac:dyDescent="0.35">
      <c r="A54" t="s">
        <v>13</v>
      </c>
      <c r="B54" s="6">
        <f>374+297</f>
        <v>671</v>
      </c>
      <c r="C54" s="6">
        <f>B54+'Poundland Operating Model'!F9</f>
        <v>693.93</v>
      </c>
    </row>
    <row r="55" spans="1:3" x14ac:dyDescent="0.35">
      <c r="A55" t="s">
        <v>22</v>
      </c>
      <c r="B55" s="26">
        <f>B53/B54</f>
        <v>0.97764530551415796</v>
      </c>
      <c r="C55" s="26">
        <f>C53/C54</f>
        <v>1.5767986316870171</v>
      </c>
    </row>
    <row r="59" spans="1:3" ht="15" thickBot="1" x14ac:dyDescent="0.4">
      <c r="A59" s="8" t="s">
        <v>317</v>
      </c>
      <c r="B59" s="8" t="s">
        <v>100</v>
      </c>
    </row>
    <row r="60" spans="1:3" x14ac:dyDescent="0.35">
      <c r="A60" t="s">
        <v>242</v>
      </c>
      <c r="B60" s="6">
        <f>Valuation!C125</f>
        <v>336.40023632076782</v>
      </c>
    </row>
    <row r="61" spans="1:3" x14ac:dyDescent="0.35">
      <c r="A61" t="s">
        <v>243</v>
      </c>
      <c r="B61" s="6">
        <f>B12</f>
        <v>386.86027176888297</v>
      </c>
    </row>
    <row r="62" spans="1:3" x14ac:dyDescent="0.35">
      <c r="A62" t="s">
        <v>274</v>
      </c>
      <c r="B62" s="6">
        <f>B14</f>
        <v>434.31927176888297</v>
      </c>
    </row>
    <row r="63" spans="1:3" x14ac:dyDescent="0.35">
      <c r="A63" t="s">
        <v>245</v>
      </c>
      <c r="B63" s="6">
        <f>('Synergies and Integration'!B56/(1+Valuation!B19)^1)+('Synergies and Integration'!C56/(1+Valuation!B19)^2)+('Synergies and Integration'!D56/(1+Valuation!B19)^3)+('Synergies and Integration'!E56/(1+Valuation!B19)^4)+('Synergies and Integration'!F56/(1+Valuation!B19)^5)</f>
        <v>28.741781385017585</v>
      </c>
    </row>
    <row r="64" spans="1:3" x14ac:dyDescent="0.35">
      <c r="A64" t="s">
        <v>246</v>
      </c>
      <c r="B64" s="6">
        <f>('Synergies and Integration'!B57/(1+Valuation!B19)^1)+('Synergies and Integration'!C57/(1+Valuation!B19)^2)+('Synergies and Integration'!D57/(1+Valuation!B19)^3)+('Synergies and Integration'!E57/(1+Valuation!B19)^4)+('Synergies and Integration'!F57/(1+Valuation!B19)^5)</f>
        <v>88.326132813303971</v>
      </c>
    </row>
    <row r="65" spans="1:2" x14ac:dyDescent="0.35">
      <c r="A65" t="s">
        <v>247</v>
      </c>
      <c r="B65" s="6">
        <f>('Synergies and Integration'!B59/(1+Valuation!B19)^1)+('Synergies and Integration'!C59/(1+Valuation!B19)^2)+('Synergies and Integration'!D59/(1+Valuation!B19)^3)+('Synergies and Integration'!E59/(1+Valuation!B19)^4)+('Synergies and Integration'!F59/(1+Valuation!B19)^5)</f>
        <v>43.685611688040645</v>
      </c>
    </row>
    <row r="66" spans="1:2" x14ac:dyDescent="0.35">
      <c r="A66" t="s">
        <v>318</v>
      </c>
      <c r="B66" s="6">
        <f>(B15+B48)/(1+Valuation!B19)</f>
        <v>5.5743645325342621</v>
      </c>
    </row>
    <row r="67" spans="1:2" x14ac:dyDescent="0.35">
      <c r="A67" t="s">
        <v>319</v>
      </c>
      <c r="B67" s="6">
        <f>B63+B64-B65-B66</f>
        <v>67.807937977746647</v>
      </c>
    </row>
    <row r="68" spans="1:2" x14ac:dyDescent="0.35">
      <c r="A68" t="s">
        <v>249</v>
      </c>
      <c r="B68" s="6">
        <f>B60+B67-B61</f>
        <v>17.347902529631483</v>
      </c>
    </row>
    <row r="69" spans="1:2" x14ac:dyDescent="0.35">
      <c r="A69" t="s">
        <v>250</v>
      </c>
      <c r="B69" s="23">
        <f>B68/B61</f>
        <v>4.484281223892491E-2</v>
      </c>
    </row>
    <row r="70" spans="1:2" x14ac:dyDescent="0.35">
      <c r="B70" s="23"/>
    </row>
    <row r="71" spans="1:2" x14ac:dyDescent="0.35">
      <c r="A71" t="s">
        <v>401</v>
      </c>
      <c r="B71" s="4">
        <f>'Accretion &amp; Dilution'!D76+(1-Valuation!B10)*'Synergies and Integration'!D60</f>
        <v>20.297673335602731</v>
      </c>
    </row>
    <row r="72" spans="1:2" x14ac:dyDescent="0.35">
      <c r="A72" t="s">
        <v>402</v>
      </c>
      <c r="B72" s="23">
        <f>(B36*Valuation!B14*(1-Valuation!B10))</f>
        <v>2.50125E-2</v>
      </c>
    </row>
    <row r="73" spans="1:2" x14ac:dyDescent="0.35">
      <c r="A73" t="s">
        <v>400</v>
      </c>
      <c r="B73" s="4">
        <f>B71/B72</f>
        <v>811.50118283269285</v>
      </c>
    </row>
    <row r="75" spans="1:2" ht="15" thickBot="1" x14ac:dyDescent="0.4">
      <c r="A75" s="8" t="s">
        <v>358</v>
      </c>
      <c r="B75" s="8" t="s">
        <v>100</v>
      </c>
    </row>
    <row r="76" spans="1:2" x14ac:dyDescent="0.35">
      <c r="A76" t="s">
        <v>251</v>
      </c>
      <c r="B76" s="6">
        <f>B60+B67</f>
        <v>404.20817429851445</v>
      </c>
    </row>
    <row r="77" spans="1:2" x14ac:dyDescent="0.35">
      <c r="A77" t="s">
        <v>252</v>
      </c>
      <c r="B77" s="23">
        <f>B76/B60-1</f>
        <v>0.20156923407476368</v>
      </c>
    </row>
    <row r="78" spans="1:2" x14ac:dyDescent="0.35">
      <c r="A78" t="s">
        <v>253</v>
      </c>
      <c r="B78" s="6">
        <f>(B73-B13)/1.01</f>
        <v>756.47740874524038</v>
      </c>
    </row>
    <row r="79" spans="1:2" x14ac:dyDescent="0.35">
      <c r="A79" t="s">
        <v>254</v>
      </c>
      <c r="B79" s="23">
        <f>B78/B60-1</f>
        <v>1.248742203688336</v>
      </c>
    </row>
    <row r="80" spans="1:2" x14ac:dyDescent="0.35">
      <c r="A80" t="s">
        <v>255</v>
      </c>
      <c r="B80" s="6">
        <f>B12</f>
        <v>386.86027176888297</v>
      </c>
    </row>
    <row r="81" spans="1:2" x14ac:dyDescent="0.35">
      <c r="A81" t="s">
        <v>256</v>
      </c>
      <c r="B81" s="6">
        <f>B76-B80</f>
        <v>17.347902529631483</v>
      </c>
    </row>
    <row r="232" spans="2:7" x14ac:dyDescent="0.35">
      <c r="B232" s="14"/>
      <c r="C232" s="14"/>
      <c r="D232" s="14"/>
      <c r="E232" s="14"/>
      <c r="F232" s="14"/>
      <c r="G232" s="14"/>
    </row>
    <row r="241" spans="2:5" x14ac:dyDescent="0.35">
      <c r="B241" s="14"/>
      <c r="C241" s="14"/>
      <c r="D241" s="14"/>
      <c r="E241" s="14"/>
    </row>
  </sheetData>
  <mergeCells count="17">
    <mergeCell ref="C36:G36"/>
    <mergeCell ref="C37:G37"/>
    <mergeCell ref="C38:G38"/>
    <mergeCell ref="C39:G39"/>
    <mergeCell ref="C40:G40"/>
    <mergeCell ref="C12:G12"/>
    <mergeCell ref="C13:G13"/>
    <mergeCell ref="C14:G14"/>
    <mergeCell ref="C15:G15"/>
    <mergeCell ref="C16:G16"/>
    <mergeCell ref="C35:G35"/>
    <mergeCell ref="C11:G11"/>
    <mergeCell ref="C6:G6"/>
    <mergeCell ref="C7:G7"/>
    <mergeCell ref="C8:G8"/>
    <mergeCell ref="C9:G9"/>
    <mergeCell ref="C10:G10"/>
  </mergeCells>
  <pageMargins left="0.7" right="0.7" top="0.75" bottom="0.75" header="0.3" footer="0.3"/>
  <pageSetup paperSize="9" orientation="portrait" r:id="rId1"/>
  <ignoredErrors>
    <ignoredError sqref="B15 B26:H2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F72C-783C-4EE2-8827-80073C16F8D9}">
  <dimension ref="A1:G60"/>
  <sheetViews>
    <sheetView showGridLines="0" topLeftCell="A36" zoomScale="113" workbookViewId="0">
      <selection activeCell="G56" sqref="G56"/>
    </sheetView>
  </sheetViews>
  <sheetFormatPr defaultRowHeight="14.5" x14ac:dyDescent="0.35"/>
  <cols>
    <col min="1" max="1" width="35.36328125" bestFit="1" customWidth="1"/>
    <col min="2" max="2" width="10.81640625" bestFit="1" customWidth="1"/>
    <col min="3" max="3" width="8.81640625" customWidth="1"/>
    <col min="4" max="4" width="9" customWidth="1"/>
    <col min="5" max="6" width="8.81640625" customWidth="1"/>
    <col min="7" max="7" width="87.08984375" bestFit="1" customWidth="1"/>
  </cols>
  <sheetData>
    <row r="1" spans="1:7" x14ac:dyDescent="0.35">
      <c r="A1" s="3" t="s">
        <v>277</v>
      </c>
    </row>
    <row r="3" spans="1:7" ht="15" thickBot="1" x14ac:dyDescent="0.4">
      <c r="A3" s="8" t="s">
        <v>196</v>
      </c>
      <c r="B3" s="8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385</v>
      </c>
    </row>
    <row r="5" spans="1:7" ht="15" thickBot="1" x14ac:dyDescent="0.4">
      <c r="A5" s="8" t="s">
        <v>195</v>
      </c>
      <c r="B5" s="7"/>
      <c r="C5" s="7"/>
      <c r="D5" s="7"/>
      <c r="E5" s="7"/>
      <c r="F5" s="7"/>
      <c r="G5" s="7"/>
    </row>
    <row r="6" spans="1:7" x14ac:dyDescent="0.35">
      <c r="A6" t="s">
        <v>371</v>
      </c>
      <c r="B6" s="4">
        <f>0.005*'Poundland Operating Model'!K15</f>
        <v>7.3580967499999996</v>
      </c>
      <c r="C6" s="4">
        <f>0.01*'Poundland Operating Model'!L15</f>
        <v>14.936936402499999</v>
      </c>
      <c r="D6" s="4">
        <f>0.015*'Poundland Operating Model'!M15</f>
        <v>22.965539718843743</v>
      </c>
      <c r="E6" s="4">
        <f>0.02*'Poundland Operating Model'!N15</f>
        <v>31.692444812004364</v>
      </c>
      <c r="F6" s="4">
        <f>0.02*'Poundland Operating Model'!O15</f>
        <v>32.801680380424514</v>
      </c>
      <c r="G6" t="s">
        <v>383</v>
      </c>
    </row>
    <row r="7" spans="1:7" x14ac:dyDescent="0.35">
      <c r="A7" s="18" t="s">
        <v>408</v>
      </c>
      <c r="B7" s="4">
        <f>0*'Poundland Operating Model'!K15</f>
        <v>0</v>
      </c>
      <c r="C7" s="4">
        <f>0.005*'Poundland Operating Model'!L15</f>
        <v>7.4684682012499994</v>
      </c>
      <c r="D7" s="4">
        <f>0.01*'Poundland Operating Model'!M15</f>
        <v>15.310359812562497</v>
      </c>
      <c r="E7" s="4">
        <f>0.015*'Poundland Operating Model'!N15</f>
        <v>23.769333609003272</v>
      </c>
      <c r="F7" s="4">
        <f>0.015*'Poundland Operating Model'!O15</f>
        <v>24.601260285318386</v>
      </c>
      <c r="G7" t="s">
        <v>407</v>
      </c>
    </row>
    <row r="8" spans="1:7" x14ac:dyDescent="0.35">
      <c r="A8" s="18" t="s">
        <v>197</v>
      </c>
      <c r="B8" s="4">
        <f>0*'Poundland Operating Model'!K15</f>
        <v>0</v>
      </c>
      <c r="C8" s="4">
        <f>0.0025*'Poundland Operating Model'!L15</f>
        <v>3.7342341006249997</v>
      </c>
      <c r="D8" s="4">
        <f>0.005*'Poundland Operating Model'!M15</f>
        <v>7.6551799062812487</v>
      </c>
      <c r="E8" s="4">
        <f>0.0075*'Poundland Operating Model'!N15</f>
        <v>11.884666804501636</v>
      </c>
      <c r="F8" s="4">
        <f>0.01*'Poundland Operating Model'!O15</f>
        <v>16.400840190212257</v>
      </c>
      <c r="G8" t="s">
        <v>384</v>
      </c>
    </row>
    <row r="9" spans="1:7" x14ac:dyDescent="0.35">
      <c r="A9" s="18" t="s">
        <v>198</v>
      </c>
      <c r="B9" s="4">
        <f>SUM(B6:B8)</f>
        <v>7.3580967499999996</v>
      </c>
      <c r="C9" s="4">
        <f t="shared" ref="C9:F9" si="0">SUM(C6:C8)</f>
        <v>26.139638704374999</v>
      </c>
      <c r="D9" s="4">
        <f t="shared" si="0"/>
        <v>45.931079437687487</v>
      </c>
      <c r="E9" s="4">
        <f t="shared" si="0"/>
        <v>67.346445225509271</v>
      </c>
      <c r="F9" s="4">
        <f t="shared" si="0"/>
        <v>73.803780855955154</v>
      </c>
      <c r="G9" t="s">
        <v>77</v>
      </c>
    </row>
    <row r="10" spans="1:7" x14ac:dyDescent="0.35">
      <c r="A10" s="18" t="s">
        <v>199</v>
      </c>
      <c r="B10" s="23">
        <f>B9/'Poundland Operating Model'!K15</f>
        <v>5.0000000000000001E-3</v>
      </c>
      <c r="C10" s="23">
        <f>C9/'Poundland Operating Model'!L15</f>
        <v>1.7500000000000002E-2</v>
      </c>
      <c r="D10" s="23">
        <f>D9/'Poundland Operating Model'!M15</f>
        <v>0.03</v>
      </c>
      <c r="E10" s="23">
        <f>E9/'Poundland Operating Model'!N15</f>
        <v>4.2499999999999996E-2</v>
      </c>
      <c r="F10" s="23">
        <f>F9/'Poundland Operating Model'!O15</f>
        <v>4.4999999999999998E-2</v>
      </c>
      <c r="G10" t="s">
        <v>77</v>
      </c>
    </row>
    <row r="11" spans="1:7" x14ac:dyDescent="0.35">
      <c r="A11" s="18" t="s">
        <v>279</v>
      </c>
      <c r="B11" s="23">
        <v>0.5</v>
      </c>
      <c r="C11" s="23">
        <v>0.7</v>
      </c>
      <c r="D11" s="23">
        <v>0.85</v>
      </c>
      <c r="E11" s="23">
        <v>0.95</v>
      </c>
      <c r="F11" s="23">
        <v>1</v>
      </c>
      <c r="G11" t="s">
        <v>386</v>
      </c>
    </row>
    <row r="12" spans="1:7" x14ac:dyDescent="0.35">
      <c r="A12" s="18" t="s">
        <v>200</v>
      </c>
      <c r="B12" s="4">
        <f>B9*B11</f>
        <v>3.6790483749999998</v>
      </c>
      <c r="C12" s="4">
        <f>C9*C11</f>
        <v>18.297747093062497</v>
      </c>
      <c r="D12" s="4">
        <f t="shared" ref="C12:F12" si="1">D9*D11</f>
        <v>39.041417522034365</v>
      </c>
      <c r="E12" s="4">
        <f t="shared" si="1"/>
        <v>63.979122964233802</v>
      </c>
      <c r="F12" s="4">
        <f t="shared" si="1"/>
        <v>73.803780855955154</v>
      </c>
      <c r="G12" t="s">
        <v>77</v>
      </c>
    </row>
    <row r="13" spans="1:7" x14ac:dyDescent="0.35">
      <c r="A13" s="18" t="s">
        <v>201</v>
      </c>
      <c r="B13" s="4">
        <f>0.3*B12</f>
        <v>1.1037145124999999</v>
      </c>
      <c r="C13" s="4">
        <f t="shared" ref="C13:F13" si="2">0.3*C12</f>
        <v>5.4893241279187492</v>
      </c>
      <c r="D13" s="4">
        <f t="shared" si="2"/>
        <v>11.71242525661031</v>
      </c>
      <c r="E13" s="4">
        <f t="shared" si="2"/>
        <v>19.193736889270141</v>
      </c>
      <c r="F13" s="4">
        <f t="shared" si="2"/>
        <v>22.141134256786547</v>
      </c>
      <c r="G13" t="s">
        <v>387</v>
      </c>
    </row>
    <row r="14" spans="1:7" x14ac:dyDescent="0.35">
      <c r="A14" s="18" t="s">
        <v>202</v>
      </c>
      <c r="B14" s="4">
        <f>0.2*B12</f>
        <v>0.73580967500000005</v>
      </c>
      <c r="C14" s="4">
        <f t="shared" ref="C14:F14" si="3">0.2*C12</f>
        <v>3.6595494186124995</v>
      </c>
      <c r="D14" s="4">
        <f t="shared" si="3"/>
        <v>7.808283504406873</v>
      </c>
      <c r="E14" s="4">
        <f t="shared" si="3"/>
        <v>12.795824592846762</v>
      </c>
      <c r="F14" s="4">
        <f t="shared" si="3"/>
        <v>14.760756171191032</v>
      </c>
      <c r="G14" t="s">
        <v>388</v>
      </c>
    </row>
    <row r="16" spans="1:7" ht="15" thickBot="1" x14ac:dyDescent="0.4">
      <c r="A16" s="8" t="s">
        <v>203</v>
      </c>
      <c r="B16" s="7"/>
      <c r="C16" s="7"/>
      <c r="D16" s="7"/>
      <c r="E16" s="7"/>
      <c r="F16" s="7"/>
      <c r="G16" s="7"/>
    </row>
    <row r="17" spans="1:7" x14ac:dyDescent="0.35">
      <c r="A17" t="s">
        <v>204</v>
      </c>
      <c r="B17" s="4">
        <f>0.005*'Poundland Operating Model'!K15</f>
        <v>7.3580967499999996</v>
      </c>
      <c r="C17" s="4">
        <f>0.0065*'Poundland Operating Model'!L15</f>
        <v>9.7090086616249991</v>
      </c>
      <c r="D17" s="4">
        <f>0.008*'Poundland Operating Model'!M15</f>
        <v>12.248287850049998</v>
      </c>
      <c r="E17" s="4">
        <f>0.01*'Poundland Operating Model'!N15</f>
        <v>15.846222406002182</v>
      </c>
      <c r="F17" s="4">
        <f>0.0125*'Poundland Operating Model'!O15</f>
        <v>20.501050237765323</v>
      </c>
      <c r="G17" s="45" t="s">
        <v>414</v>
      </c>
    </row>
    <row r="18" spans="1:7" x14ac:dyDescent="0.35">
      <c r="A18" t="s">
        <v>280</v>
      </c>
      <c r="B18" s="4">
        <f>0.001*'Poundland Operating Model'!K15</f>
        <v>1.4716193499999999</v>
      </c>
      <c r="C18" s="4">
        <f>0.002*'Poundland Operating Model'!L15</f>
        <v>2.9873872804999997</v>
      </c>
      <c r="D18" s="4">
        <f>0.003*'Poundland Operating Model'!M15</f>
        <v>4.5931079437687492</v>
      </c>
      <c r="E18" s="4">
        <f>0.004*'Poundland Operating Model'!N15</f>
        <v>6.3384889624008727</v>
      </c>
      <c r="F18" s="4">
        <f>0.005*'Poundland Operating Model'!O15</f>
        <v>8.2004200951061286</v>
      </c>
      <c r="G18" s="45" t="s">
        <v>415</v>
      </c>
    </row>
    <row r="19" spans="1:7" x14ac:dyDescent="0.35">
      <c r="A19" t="s">
        <v>205</v>
      </c>
      <c r="B19" s="4">
        <f>0.003*'Poundland Operating Model'!K15</f>
        <v>4.4148580500000003</v>
      </c>
      <c r="C19" s="4">
        <f>0.004*'Poundland Operating Model'!L15</f>
        <v>5.9747745609999994</v>
      </c>
      <c r="D19" s="4">
        <f>0.005*'Poundland Operating Model'!M15</f>
        <v>7.6551799062812487</v>
      </c>
      <c r="E19" s="4">
        <f>0.006*'Poundland Operating Model'!N15</f>
        <v>9.5077334436013103</v>
      </c>
      <c r="F19" s="4">
        <f>0.007*'Poundland Operating Model'!O15</f>
        <v>11.480588133148579</v>
      </c>
      <c r="G19" s="45" t="s">
        <v>416</v>
      </c>
    </row>
    <row r="20" spans="1:7" x14ac:dyDescent="0.35">
      <c r="A20" t="s">
        <v>206</v>
      </c>
      <c r="B20" s="4">
        <f>0.001*'Poundland Operating Model'!K15</f>
        <v>1.4716193499999999</v>
      </c>
      <c r="C20" s="4">
        <f>0.0015*'Poundland Operating Model'!L15</f>
        <v>2.2405404603749997</v>
      </c>
      <c r="D20" s="4">
        <f>0.0015*'Poundland Operating Model'!M15</f>
        <v>2.2965539718843746</v>
      </c>
      <c r="E20" s="4">
        <f>0.002*'Poundland Operating Model'!N15</f>
        <v>3.1692444812004363</v>
      </c>
      <c r="F20" s="4">
        <f>0.002*'Poundland Operating Model'!O15</f>
        <v>3.2801680380424516</v>
      </c>
      <c r="G20" s="45" t="s">
        <v>417</v>
      </c>
    </row>
    <row r="21" spans="1:7" x14ac:dyDescent="0.35">
      <c r="A21" t="s">
        <v>207</v>
      </c>
      <c r="B21" s="4">
        <f>0.001*'Poundland Operating Model'!K15</f>
        <v>1.4716193499999999</v>
      </c>
      <c r="C21" s="4">
        <f>0.0015*'Poundland Operating Model'!L15</f>
        <v>2.2405404603749997</v>
      </c>
      <c r="D21" s="4">
        <f>0.0015*'Poundland Operating Model'!M15</f>
        <v>2.2965539718843746</v>
      </c>
      <c r="E21" s="4">
        <f>0.002*'Poundland Operating Model'!N15</f>
        <v>3.1692444812004363</v>
      </c>
      <c r="F21" s="4">
        <f>0.002*'Poundland Operating Model'!O15</f>
        <v>3.2801680380424516</v>
      </c>
      <c r="G21" s="45" t="s">
        <v>418</v>
      </c>
    </row>
    <row r="22" spans="1:7" x14ac:dyDescent="0.35">
      <c r="A22" t="s">
        <v>281</v>
      </c>
      <c r="B22" s="4">
        <f>B38</f>
        <v>-6.7920893076923079</v>
      </c>
      <c r="C22" s="4">
        <f t="shared" ref="C22:F22" si="4">C38</f>
        <v>-5.3346201437500014</v>
      </c>
      <c r="D22" s="4">
        <f t="shared" si="4"/>
        <v>-3.7342341006249988</v>
      </c>
      <c r="E22" s="4">
        <f t="shared" si="4"/>
        <v>0</v>
      </c>
      <c r="F22" s="4">
        <f t="shared" si="4"/>
        <v>0</v>
      </c>
      <c r="G22" s="45" t="s">
        <v>392</v>
      </c>
    </row>
    <row r="23" spans="1:7" x14ac:dyDescent="0.35">
      <c r="A23" t="s">
        <v>209</v>
      </c>
      <c r="B23" s="4">
        <f>SUM(B17:B22)</f>
        <v>9.3957235423076888</v>
      </c>
      <c r="C23" s="4">
        <f t="shared" ref="C23:F23" si="5">SUM(C17:C22)</f>
        <v>17.817631280124999</v>
      </c>
      <c r="D23" s="4">
        <f t="shared" si="5"/>
        <v>25.355449543243747</v>
      </c>
      <c r="E23" s="4">
        <f t="shared" si="5"/>
        <v>38.030933774405234</v>
      </c>
      <c r="F23" s="4">
        <f t="shared" si="5"/>
        <v>46.74239454210494</v>
      </c>
      <c r="G23" t="s">
        <v>77</v>
      </c>
    </row>
    <row r="24" spans="1:7" x14ac:dyDescent="0.35">
      <c r="A24" t="s">
        <v>393</v>
      </c>
      <c r="B24" s="12">
        <f>B23/'Poundland Operating Model'!K15</f>
        <v>6.3846153846153827E-3</v>
      </c>
      <c r="C24" s="12">
        <f>C23/'Poundland Operating Model'!L15</f>
        <v>1.1928571428571429E-2</v>
      </c>
      <c r="D24" s="12">
        <f>D23/'Poundland Operating Model'!M15</f>
        <v>1.6560975609756098E-2</v>
      </c>
      <c r="E24" s="12">
        <f>E23/'Poundland Operating Model'!N15</f>
        <v>2.3999999999999997E-2</v>
      </c>
      <c r="F24" s="12">
        <f>F23/'Poundland Operating Model'!O15</f>
        <v>2.8500000000000004E-2</v>
      </c>
      <c r="G24" t="s">
        <v>77</v>
      </c>
    </row>
    <row r="25" spans="1:7" x14ac:dyDescent="0.35">
      <c r="A25" t="s">
        <v>279</v>
      </c>
      <c r="B25" s="5">
        <v>0.5</v>
      </c>
      <c r="C25" s="5">
        <v>0.7</v>
      </c>
      <c r="D25" s="5">
        <v>0.85</v>
      </c>
      <c r="E25" s="5">
        <v>0.95</v>
      </c>
      <c r="F25" s="5">
        <v>1</v>
      </c>
      <c r="G25" t="s">
        <v>394</v>
      </c>
    </row>
    <row r="26" spans="1:7" x14ac:dyDescent="0.35">
      <c r="A26" t="s">
        <v>210</v>
      </c>
      <c r="B26" s="4">
        <f>B23*B25</f>
        <v>4.6978617711538444</v>
      </c>
      <c r="C26" s="4">
        <f t="shared" ref="C26:F26" si="6">C23*C25</f>
        <v>12.472341896087499</v>
      </c>
      <c r="D26" s="4">
        <f>D23*D25</f>
        <v>21.552132111757185</v>
      </c>
      <c r="E26" s="4">
        <f t="shared" si="6"/>
        <v>36.129387085684968</v>
      </c>
      <c r="F26" s="4">
        <f t="shared" si="6"/>
        <v>46.74239454210494</v>
      </c>
      <c r="G26" t="s">
        <v>77</v>
      </c>
    </row>
    <row r="28" spans="1:7" ht="15" thickBot="1" x14ac:dyDescent="0.4">
      <c r="A28" s="8" t="s">
        <v>208</v>
      </c>
      <c r="B28" s="7"/>
      <c r="C28" s="7"/>
      <c r="D28" s="7"/>
      <c r="E28" s="7"/>
      <c r="F28" s="7"/>
      <c r="G28" s="7"/>
    </row>
    <row r="29" spans="1:7" x14ac:dyDescent="0.35">
      <c r="A29" t="s">
        <v>282</v>
      </c>
      <c r="B29">
        <v>650</v>
      </c>
      <c r="C29">
        <f>B29-B30</f>
        <v>630</v>
      </c>
      <c r="D29">
        <f t="shared" ref="D29:F29" si="7">C29-C30</f>
        <v>615</v>
      </c>
      <c r="E29">
        <f t="shared" si="7"/>
        <v>605</v>
      </c>
      <c r="F29">
        <f t="shared" si="7"/>
        <v>605</v>
      </c>
      <c r="G29" t="s">
        <v>389</v>
      </c>
    </row>
    <row r="30" spans="1:7" x14ac:dyDescent="0.35">
      <c r="A30" t="s">
        <v>283</v>
      </c>
      <c r="B30">
        <v>20</v>
      </c>
      <c r="C30">
        <v>15</v>
      </c>
      <c r="D30">
        <v>10</v>
      </c>
      <c r="E30">
        <v>0</v>
      </c>
      <c r="F30">
        <v>0</v>
      </c>
      <c r="G30" t="s">
        <v>411</v>
      </c>
    </row>
    <row r="31" spans="1:7" x14ac:dyDescent="0.35">
      <c r="A31" t="s">
        <v>284</v>
      </c>
      <c r="B31">
        <f>B29-B30</f>
        <v>630</v>
      </c>
      <c r="C31">
        <f t="shared" ref="C31:F31" si="8">C29-C30</f>
        <v>615</v>
      </c>
      <c r="D31">
        <f t="shared" si="8"/>
        <v>605</v>
      </c>
      <c r="E31">
        <f t="shared" si="8"/>
        <v>605</v>
      </c>
      <c r="F31">
        <f t="shared" si="8"/>
        <v>605</v>
      </c>
      <c r="G31" t="s">
        <v>77</v>
      </c>
    </row>
    <row r="32" spans="1:7" x14ac:dyDescent="0.35">
      <c r="A32" t="s">
        <v>285</v>
      </c>
      <c r="B32" s="6">
        <f>'Poundland Operating Model'!K15/B29</f>
        <v>2.2640297692307692</v>
      </c>
      <c r="C32" s="6">
        <f>'Poundland Operating Model'!L15/C29</f>
        <v>2.3709422861111107</v>
      </c>
      <c r="D32" s="6">
        <f>'Poundland Operating Model'!M15/D29</f>
        <v>2.4894894004166663</v>
      </c>
      <c r="E32" s="6">
        <f>'Poundland Operating Model'!N15/E29</f>
        <v>2.6192103150416832</v>
      </c>
      <c r="F32" s="6">
        <f>'Poundland Operating Model'!O15/F29</f>
        <v>2.7108826760681417</v>
      </c>
      <c r="G32" t="s">
        <v>77</v>
      </c>
    </row>
    <row r="33" spans="1:7" x14ac:dyDescent="0.35">
      <c r="A33" t="s">
        <v>286</v>
      </c>
      <c r="B33" s="6">
        <f>B30*B32</f>
        <v>45.280595384615381</v>
      </c>
      <c r="C33" s="6">
        <f t="shared" ref="C33:F33" si="9">C30*C32</f>
        <v>35.564134291666662</v>
      </c>
      <c r="D33" s="6">
        <f t="shared" si="9"/>
        <v>24.894894004166662</v>
      </c>
      <c r="E33" s="6">
        <f t="shared" si="9"/>
        <v>0</v>
      </c>
      <c r="F33" s="6">
        <f t="shared" si="9"/>
        <v>0</v>
      </c>
      <c r="G33" t="s">
        <v>77</v>
      </c>
    </row>
    <row r="34" spans="1:7" x14ac:dyDescent="0.35">
      <c r="A34" t="s">
        <v>287</v>
      </c>
      <c r="B34" s="6">
        <f>0.25*B33</f>
        <v>11.320148846153845</v>
      </c>
      <c r="C34" s="6">
        <f t="shared" ref="C34:F34" si="10">0.25*C33</f>
        <v>8.8910335729166654</v>
      </c>
      <c r="D34" s="6">
        <f t="shared" si="10"/>
        <v>6.2237235010416656</v>
      </c>
      <c r="E34" s="6">
        <f t="shared" si="10"/>
        <v>0</v>
      </c>
      <c r="F34" s="6">
        <f t="shared" si="10"/>
        <v>0</v>
      </c>
      <c r="G34" t="s">
        <v>390</v>
      </c>
    </row>
    <row r="35" spans="1:7" x14ac:dyDescent="0.35">
      <c r="A35" t="s">
        <v>288</v>
      </c>
      <c r="B35" s="6">
        <f>0.25*B33</f>
        <v>11.320148846153845</v>
      </c>
      <c r="C35" s="6">
        <f t="shared" ref="C35:F35" si="11">0.25*C33</f>
        <v>8.8910335729166654</v>
      </c>
      <c r="D35" s="6">
        <f t="shared" si="11"/>
        <v>6.2237235010416656</v>
      </c>
      <c r="E35" s="6">
        <f t="shared" si="11"/>
        <v>0</v>
      </c>
      <c r="F35" s="6">
        <f t="shared" si="11"/>
        <v>0</v>
      </c>
      <c r="G35" t="s">
        <v>390</v>
      </c>
    </row>
    <row r="36" spans="1:7" x14ac:dyDescent="0.35">
      <c r="A36" t="s">
        <v>289</v>
      </c>
      <c r="B36" s="6">
        <f>0.35*B33</f>
        <v>15.848208384615383</v>
      </c>
      <c r="C36" s="6">
        <f t="shared" ref="C36:F36" si="12">0.35*C33</f>
        <v>12.447447002083331</v>
      </c>
      <c r="D36" s="6">
        <f t="shared" si="12"/>
        <v>8.7132129014583306</v>
      </c>
      <c r="E36" s="6">
        <f t="shared" si="12"/>
        <v>0</v>
      </c>
      <c r="F36" s="6">
        <f t="shared" si="12"/>
        <v>0</v>
      </c>
      <c r="G36" t="s">
        <v>391</v>
      </c>
    </row>
    <row r="37" spans="1:7" x14ac:dyDescent="0.35">
      <c r="A37" t="s">
        <v>290</v>
      </c>
      <c r="B37" s="6">
        <f>SUM(B34:B36)</f>
        <v>38.488506076923073</v>
      </c>
      <c r="C37" s="6">
        <f t="shared" ref="C37:F37" si="13">SUM(C34:C36)</f>
        <v>30.22951414791666</v>
      </c>
      <c r="D37" s="6">
        <f t="shared" si="13"/>
        <v>21.160659903541664</v>
      </c>
      <c r="E37" s="6">
        <f t="shared" si="13"/>
        <v>0</v>
      </c>
      <c r="F37" s="6">
        <f t="shared" si="13"/>
        <v>0</v>
      </c>
      <c r="G37" t="s">
        <v>77</v>
      </c>
    </row>
    <row r="38" spans="1:7" x14ac:dyDescent="0.35">
      <c r="A38" t="s">
        <v>291</v>
      </c>
      <c r="B38" s="6">
        <f>B37-B33</f>
        <v>-6.7920893076923079</v>
      </c>
      <c r="C38" s="6">
        <f t="shared" ref="C38:F38" si="14">C37-C33</f>
        <v>-5.3346201437500014</v>
      </c>
      <c r="D38" s="6">
        <f t="shared" si="14"/>
        <v>-3.7342341006249988</v>
      </c>
      <c r="E38" s="6">
        <f t="shared" si="14"/>
        <v>0</v>
      </c>
      <c r="F38" s="6">
        <f t="shared" si="14"/>
        <v>0</v>
      </c>
      <c r="G38" t="s">
        <v>77</v>
      </c>
    </row>
    <row r="40" spans="1:7" ht="15" thickBot="1" x14ac:dyDescent="0.4">
      <c r="A40" s="8" t="s">
        <v>211</v>
      </c>
      <c r="B40" s="7"/>
      <c r="C40" s="7"/>
      <c r="D40" s="7"/>
      <c r="E40" s="7"/>
      <c r="F40" s="7"/>
      <c r="G40" s="7"/>
    </row>
    <row r="41" spans="1:7" x14ac:dyDescent="0.35">
      <c r="A41" t="s">
        <v>212</v>
      </c>
      <c r="B41" s="4">
        <v>4</v>
      </c>
      <c r="C41" s="4">
        <v>3</v>
      </c>
      <c r="D41" s="4">
        <v>2</v>
      </c>
      <c r="E41" s="4">
        <v>0</v>
      </c>
      <c r="F41" s="4">
        <v>0</v>
      </c>
      <c r="G41" s="45" t="s">
        <v>395</v>
      </c>
    </row>
    <row r="42" spans="1:7" x14ac:dyDescent="0.35">
      <c r="A42" t="s">
        <v>213</v>
      </c>
      <c r="B42" s="4">
        <v>5</v>
      </c>
      <c r="C42" s="4">
        <v>4</v>
      </c>
      <c r="D42" s="4">
        <v>3</v>
      </c>
      <c r="E42" s="4">
        <v>0</v>
      </c>
      <c r="F42" s="4">
        <v>0</v>
      </c>
      <c r="G42" s="45" t="s">
        <v>409</v>
      </c>
    </row>
    <row r="43" spans="1:7" x14ac:dyDescent="0.35">
      <c r="A43" t="s">
        <v>214</v>
      </c>
      <c r="B43" s="4">
        <v>2.5</v>
      </c>
      <c r="C43" s="4">
        <v>1.5</v>
      </c>
      <c r="D43" s="4">
        <v>1</v>
      </c>
      <c r="E43" s="4">
        <v>0</v>
      </c>
      <c r="F43" s="4">
        <v>0</v>
      </c>
      <c r="G43" s="45" t="s">
        <v>403</v>
      </c>
    </row>
    <row r="44" spans="1:7" x14ac:dyDescent="0.35">
      <c r="A44" t="s">
        <v>215</v>
      </c>
      <c r="B44" s="4">
        <f>0.1*B30</f>
        <v>2</v>
      </c>
      <c r="C44" s="4">
        <f t="shared" ref="C44:F44" si="15">0.1*C30</f>
        <v>1.5</v>
      </c>
      <c r="D44" s="4">
        <f t="shared" si="15"/>
        <v>1</v>
      </c>
      <c r="E44" s="4">
        <f t="shared" si="15"/>
        <v>0</v>
      </c>
      <c r="F44" s="4">
        <f t="shared" si="15"/>
        <v>0</v>
      </c>
      <c r="G44" s="45" t="s">
        <v>396</v>
      </c>
    </row>
    <row r="45" spans="1:7" x14ac:dyDescent="0.35">
      <c r="A45" t="s">
        <v>216</v>
      </c>
      <c r="B45" s="4">
        <v>3</v>
      </c>
      <c r="C45" s="4">
        <v>2</v>
      </c>
      <c r="D45" s="4">
        <v>1</v>
      </c>
      <c r="E45" s="4">
        <v>0</v>
      </c>
      <c r="F45" s="4">
        <v>0</v>
      </c>
      <c r="G45" s="45" t="s">
        <v>412</v>
      </c>
    </row>
    <row r="46" spans="1:7" x14ac:dyDescent="0.35">
      <c r="A46" t="s">
        <v>217</v>
      </c>
      <c r="B46" s="4">
        <v>3</v>
      </c>
      <c r="C46" s="4">
        <v>2</v>
      </c>
      <c r="D46" s="4">
        <v>1</v>
      </c>
      <c r="E46" s="4">
        <v>0</v>
      </c>
      <c r="F46" s="4">
        <v>0</v>
      </c>
      <c r="G46" s="45" t="s">
        <v>410</v>
      </c>
    </row>
    <row r="47" spans="1:7" x14ac:dyDescent="0.35">
      <c r="A47" t="s">
        <v>359</v>
      </c>
      <c r="B47" s="4">
        <v>2.5</v>
      </c>
      <c r="C47" s="4">
        <v>1.5</v>
      </c>
      <c r="D47" s="4">
        <v>1</v>
      </c>
      <c r="E47" s="4">
        <v>0</v>
      </c>
      <c r="F47" s="4">
        <v>0</v>
      </c>
      <c r="G47" s="45" t="s">
        <v>397</v>
      </c>
    </row>
    <row r="48" spans="1:7" x14ac:dyDescent="0.35">
      <c r="A48" t="s">
        <v>278</v>
      </c>
      <c r="B48" s="4">
        <v>1</v>
      </c>
      <c r="C48" s="4">
        <v>1</v>
      </c>
      <c r="D48" s="4">
        <v>1</v>
      </c>
      <c r="E48" s="4">
        <v>0</v>
      </c>
      <c r="F48" s="4">
        <v>0</v>
      </c>
      <c r="G48" s="45" t="s">
        <v>413</v>
      </c>
    </row>
    <row r="49" spans="1:7" x14ac:dyDescent="0.35">
      <c r="A49" t="s">
        <v>218</v>
      </c>
      <c r="B49" s="4">
        <f>SUM(B41:B48)</f>
        <v>23</v>
      </c>
      <c r="C49" s="4">
        <f t="shared" ref="C49:F49" si="16">SUM(C41:C48)</f>
        <v>16.5</v>
      </c>
      <c r="D49" s="4">
        <f t="shared" si="16"/>
        <v>11</v>
      </c>
      <c r="E49" s="4">
        <f t="shared" si="16"/>
        <v>0</v>
      </c>
      <c r="F49" s="4">
        <f t="shared" si="16"/>
        <v>0</v>
      </c>
      <c r="G49" s="45" t="s">
        <v>77</v>
      </c>
    </row>
    <row r="50" spans="1:7" x14ac:dyDescent="0.35">
      <c r="A50" t="s">
        <v>219</v>
      </c>
      <c r="B50" s="4">
        <f>SUM(B49)</f>
        <v>23</v>
      </c>
      <c r="C50" s="4">
        <f>SUM(B49:C49)</f>
        <v>39.5</v>
      </c>
      <c r="D50" s="4">
        <f>SUM(B49:D49)</f>
        <v>50.5</v>
      </c>
      <c r="E50" s="4">
        <f>SUM(B49:E49)</f>
        <v>50.5</v>
      </c>
      <c r="F50" s="4">
        <f>SUM(B49:F49)</f>
        <v>50.5</v>
      </c>
      <c r="G50" s="45" t="s">
        <v>77</v>
      </c>
    </row>
    <row r="54" spans="1:7" x14ac:dyDescent="0.35">
      <c r="A54" s="3" t="s">
        <v>333</v>
      </c>
    </row>
    <row r="55" spans="1:7" ht="15" thickBot="1" x14ac:dyDescent="0.4">
      <c r="A55" s="8"/>
      <c r="B55" s="8" t="s">
        <v>41</v>
      </c>
      <c r="C55" s="8" t="s">
        <v>42</v>
      </c>
      <c r="D55" s="8" t="s">
        <v>43</v>
      </c>
      <c r="E55" s="8" t="s">
        <v>44</v>
      </c>
      <c r="F55" s="8" t="s">
        <v>45</v>
      </c>
      <c r="G55" s="7"/>
    </row>
    <row r="56" spans="1:7" x14ac:dyDescent="0.35">
      <c r="A56" t="s">
        <v>195</v>
      </c>
      <c r="B56" s="6">
        <f>1*B14</f>
        <v>0.73580967500000005</v>
      </c>
      <c r="C56" s="6">
        <f t="shared" ref="C56:F56" si="17">1*C14</f>
        <v>3.6595494186124995</v>
      </c>
      <c r="D56" s="6">
        <f t="shared" si="17"/>
        <v>7.808283504406873</v>
      </c>
      <c r="E56" s="6">
        <f t="shared" si="17"/>
        <v>12.795824592846762</v>
      </c>
      <c r="F56" s="6">
        <f t="shared" si="17"/>
        <v>14.760756171191032</v>
      </c>
    </row>
    <row r="57" spans="1:7" x14ac:dyDescent="0.35">
      <c r="A57" t="s">
        <v>203</v>
      </c>
      <c r="B57" s="6">
        <f>1*B26</f>
        <v>4.6978617711538444</v>
      </c>
      <c r="C57" s="6">
        <f t="shared" ref="C57:F57" si="18">1*C26</f>
        <v>12.472341896087499</v>
      </c>
      <c r="D57" s="6">
        <f t="shared" si="18"/>
        <v>21.552132111757185</v>
      </c>
      <c r="E57" s="6">
        <f t="shared" si="18"/>
        <v>36.129387085684968</v>
      </c>
      <c r="F57" s="6">
        <f t="shared" si="18"/>
        <v>46.74239454210494</v>
      </c>
    </row>
    <row r="58" spans="1:7" x14ac:dyDescent="0.35">
      <c r="A58" t="s">
        <v>334</v>
      </c>
      <c r="B58" s="6">
        <f>B56+B57</f>
        <v>5.4336714461538449</v>
      </c>
      <c r="C58" s="6">
        <f t="shared" ref="C58:F58" si="19">C56+C57</f>
        <v>16.131891314699999</v>
      </c>
      <c r="D58" s="6">
        <f>D56+D57</f>
        <v>29.360415616164058</v>
      </c>
      <c r="E58" s="6">
        <f t="shared" si="19"/>
        <v>48.925211678531731</v>
      </c>
      <c r="F58" s="6">
        <f t="shared" si="19"/>
        <v>61.503150713295973</v>
      </c>
    </row>
    <row r="59" spans="1:7" x14ac:dyDescent="0.35">
      <c r="A59" t="s">
        <v>211</v>
      </c>
      <c r="B59" s="6">
        <f>B49</f>
        <v>23</v>
      </c>
      <c r="C59" s="6">
        <f t="shared" ref="C59:F59" si="20">C49</f>
        <v>16.5</v>
      </c>
      <c r="D59" s="6">
        <f t="shared" si="20"/>
        <v>11</v>
      </c>
      <c r="E59" s="6">
        <f t="shared" si="20"/>
        <v>0</v>
      </c>
      <c r="F59" s="6">
        <f t="shared" si="20"/>
        <v>0</v>
      </c>
    </row>
    <row r="60" spans="1:7" x14ac:dyDescent="0.35">
      <c r="A60" t="s">
        <v>335</v>
      </c>
      <c r="B60" s="6">
        <f>B58-B59</f>
        <v>-17.566328553846155</v>
      </c>
      <c r="C60" s="6">
        <f>C58-C59</f>
        <v>-0.36810868530000107</v>
      </c>
      <c r="D60" s="6">
        <f>D58-D59</f>
        <v>18.360415616164058</v>
      </c>
      <c r="E60" s="6">
        <f t="shared" ref="C60:F60" si="21">E58-E59</f>
        <v>48.925211678531731</v>
      </c>
      <c r="F60" s="6">
        <f t="shared" si="21"/>
        <v>61.503150713295973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DE3C-5A90-40EE-86C0-F01E768A3F3C}">
  <dimension ref="A1:F90"/>
  <sheetViews>
    <sheetView showGridLines="0" topLeftCell="A39" zoomScale="56" workbookViewId="0">
      <selection sqref="A1:F90"/>
    </sheetView>
  </sheetViews>
  <sheetFormatPr defaultRowHeight="14.5" x14ac:dyDescent="0.35"/>
  <cols>
    <col min="1" max="1" width="32.6328125" bestFit="1" customWidth="1"/>
    <col min="2" max="6" width="10.54296875" bestFit="1" customWidth="1"/>
  </cols>
  <sheetData>
    <row r="1" spans="1:6" x14ac:dyDescent="0.35">
      <c r="A1" s="3" t="s">
        <v>292</v>
      </c>
    </row>
    <row r="5" spans="1:6" ht="15" thickBot="1" x14ac:dyDescent="0.4">
      <c r="A5" s="8" t="s">
        <v>293</v>
      </c>
      <c r="B5" s="8" t="s">
        <v>41</v>
      </c>
      <c r="C5" s="8" t="s">
        <v>42</v>
      </c>
      <c r="D5" s="8" t="s">
        <v>43</v>
      </c>
      <c r="E5" s="8" t="s">
        <v>44</v>
      </c>
      <c r="F5" s="8" t="s">
        <v>45</v>
      </c>
    </row>
    <row r="7" spans="1:6" ht="15" thickBot="1" x14ac:dyDescent="0.4">
      <c r="A7" s="8" t="s">
        <v>11</v>
      </c>
      <c r="B7" s="7"/>
      <c r="C7" s="7"/>
      <c r="D7" s="7"/>
      <c r="E7" s="7"/>
      <c r="F7" s="7"/>
    </row>
    <row r="8" spans="1:6" x14ac:dyDescent="0.35">
      <c r="A8" t="s">
        <v>220</v>
      </c>
      <c r="B8" s="6">
        <f>'B&amp;M Operating Model'!K15</f>
        <v>5765.9849999999997</v>
      </c>
      <c r="C8" s="6">
        <f>'B&amp;M Operating Model'!L15</f>
        <v>5967.7944749999988</v>
      </c>
      <c r="D8" s="6">
        <f>'B&amp;M Operating Model'!M15</f>
        <v>6176.6672816249984</v>
      </c>
      <c r="E8" s="6">
        <f>'B&amp;M Operating Model'!N15</f>
        <v>6392.8506364818732</v>
      </c>
      <c r="F8" s="6">
        <f>'B&amp;M Operating Model'!O15</f>
        <v>6616.600408758738</v>
      </c>
    </row>
    <row r="9" spans="1:6" x14ac:dyDescent="0.35">
      <c r="A9" t="s">
        <v>221</v>
      </c>
      <c r="B9" s="6">
        <f>'Poundland Operating Model'!K15</f>
        <v>1471.6193499999999</v>
      </c>
      <c r="C9" s="6">
        <f>'Poundland Operating Model'!L15</f>
        <v>1493.6936402499998</v>
      </c>
      <c r="D9" s="6">
        <f>'Poundland Operating Model'!M15</f>
        <v>1531.0359812562497</v>
      </c>
      <c r="E9" s="6">
        <f>'Poundland Operating Model'!N15</f>
        <v>1584.6222406002182</v>
      </c>
      <c r="F9" s="6">
        <f>'Poundland Operating Model'!O15</f>
        <v>1640.0840190212257</v>
      </c>
    </row>
    <row r="10" spans="1:6" x14ac:dyDescent="0.35">
      <c r="A10" t="s">
        <v>195</v>
      </c>
      <c r="B10" s="6">
        <f>'Synergies and Integration'!B12</f>
        <v>3.6790483749999998</v>
      </c>
      <c r="C10" s="6">
        <f>'Synergies and Integration'!C12</f>
        <v>18.297747093062497</v>
      </c>
      <c r="D10" s="6">
        <f>'Synergies and Integration'!D12</f>
        <v>39.041417522034365</v>
      </c>
      <c r="E10" s="6">
        <f>'Synergies and Integration'!E12</f>
        <v>63.979122964233802</v>
      </c>
      <c r="F10" s="6">
        <f>'Synergies and Integration'!F12</f>
        <v>73.803780855955154</v>
      </c>
    </row>
    <row r="11" spans="1:6" x14ac:dyDescent="0.35">
      <c r="A11" t="s">
        <v>294</v>
      </c>
      <c r="B11" s="6">
        <f>B8+B9+B10</f>
        <v>7241.2833983749997</v>
      </c>
      <c r="C11" s="6">
        <f t="shared" ref="C11:F11" si="0">C8+C9+C10</f>
        <v>7479.7858623430611</v>
      </c>
      <c r="D11" s="6">
        <f t="shared" si="0"/>
        <v>7746.7446804032825</v>
      </c>
      <c r="E11" s="6">
        <f t="shared" si="0"/>
        <v>8041.4520000463253</v>
      </c>
      <c r="F11" s="6">
        <f t="shared" si="0"/>
        <v>8330.4882086359194</v>
      </c>
    </row>
    <row r="12" spans="1:6" x14ac:dyDescent="0.35">
      <c r="A12" t="s">
        <v>12</v>
      </c>
      <c r="B12" s="12">
        <f>B11/'B&amp;M Operating Model'!F7-1</f>
        <v>0.29981751900466702</v>
      </c>
      <c r="C12" s="12">
        <f>C11/B11-1</f>
        <v>3.293649079134009E-2</v>
      </c>
      <c r="D12" s="12">
        <f t="shared" ref="D12:F12" si="1">D11/C11-1</f>
        <v>3.5690703313342675E-2</v>
      </c>
      <c r="E12" s="12">
        <f t="shared" si="1"/>
        <v>3.8042730437283678E-2</v>
      </c>
      <c r="F12" s="12">
        <f t="shared" si="1"/>
        <v>3.5943285937406477E-2</v>
      </c>
    </row>
    <row r="14" spans="1:6" ht="15" thickBot="1" x14ac:dyDescent="0.4">
      <c r="A14" s="8" t="s">
        <v>13</v>
      </c>
      <c r="B14" s="7"/>
      <c r="C14" s="7"/>
      <c r="D14" s="7"/>
      <c r="E14" s="7"/>
      <c r="F14" s="7"/>
    </row>
    <row r="15" spans="1:6" x14ac:dyDescent="0.35">
      <c r="A15" t="s">
        <v>222</v>
      </c>
      <c r="B15" s="6">
        <f>'B&amp;M Operating Model'!K17</f>
        <v>778.40797499999996</v>
      </c>
      <c r="C15" s="6">
        <f>'B&amp;M Operating Model'!L17</f>
        <v>745.97430937499985</v>
      </c>
      <c r="D15" s="6">
        <f>'B&amp;M Operating Model'!M17</f>
        <v>725.75840559093729</v>
      </c>
      <c r="E15" s="6">
        <f>'B&amp;M Operating Model'!N17</f>
        <v>687.23144342180137</v>
      </c>
      <c r="F15" s="6">
        <f>'B&amp;M Operating Model'!O17</f>
        <v>651.73514026273574</v>
      </c>
    </row>
    <row r="16" spans="1:6" x14ac:dyDescent="0.35">
      <c r="A16" t="s">
        <v>223</v>
      </c>
      <c r="B16" s="6">
        <f>'Poundland Operating Model'!K17</f>
        <v>51.506677250000003</v>
      </c>
      <c r="C16" s="6">
        <f>'Poundland Operating Model'!L17</f>
        <v>59.747745609999996</v>
      </c>
      <c r="D16" s="6">
        <f>'Poundland Operating Model'!M17</f>
        <v>76.551799062812492</v>
      </c>
      <c r="E16" s="6">
        <f>'Poundland Operating Model'!N17</f>
        <v>103.00044563901419</v>
      </c>
      <c r="F16" s="6">
        <f>'Poundland Operating Model'!O17</f>
        <v>106.60546123637967</v>
      </c>
    </row>
    <row r="17" spans="1:6" x14ac:dyDescent="0.35">
      <c r="A17" t="s">
        <v>224</v>
      </c>
      <c r="B17" s="6">
        <f>'Synergies and Integration'!B56</f>
        <v>0.73580967500000005</v>
      </c>
      <c r="C17" s="6">
        <f>'Synergies and Integration'!C56</f>
        <v>3.6595494186124995</v>
      </c>
      <c r="D17" s="6">
        <f>'Synergies and Integration'!D56</f>
        <v>7.808283504406873</v>
      </c>
      <c r="E17" s="6">
        <f>'Synergies and Integration'!E56</f>
        <v>12.795824592846762</v>
      </c>
      <c r="F17" s="6">
        <f>'Synergies and Integration'!F56</f>
        <v>14.760756171191032</v>
      </c>
    </row>
    <row r="18" spans="1:6" x14ac:dyDescent="0.35">
      <c r="A18" t="s">
        <v>203</v>
      </c>
      <c r="B18" s="6">
        <f>'Synergies and Integration'!B57</f>
        <v>4.6978617711538444</v>
      </c>
      <c r="C18" s="6">
        <f>'Synergies and Integration'!C57</f>
        <v>12.472341896087499</v>
      </c>
      <c r="D18" s="6">
        <f>'Synergies and Integration'!D57</f>
        <v>21.552132111757185</v>
      </c>
      <c r="E18" s="6">
        <f>'Synergies and Integration'!E57</f>
        <v>36.129387085684968</v>
      </c>
      <c r="F18" s="6">
        <f>'Synergies and Integration'!F57</f>
        <v>46.74239454210494</v>
      </c>
    </row>
    <row r="19" spans="1:6" x14ac:dyDescent="0.35">
      <c r="A19" t="s">
        <v>295</v>
      </c>
      <c r="B19" s="6">
        <f>SUM(B15:B18)</f>
        <v>835.3483236961539</v>
      </c>
      <c r="C19" s="6">
        <f t="shared" ref="C19:F19" si="2">SUM(C15:C18)</f>
        <v>821.85394629969994</v>
      </c>
      <c r="D19" s="6">
        <f t="shared" si="2"/>
        <v>831.6706202699138</v>
      </c>
      <c r="E19" s="6">
        <f t="shared" si="2"/>
        <v>839.15710073934724</v>
      </c>
      <c r="F19" s="6">
        <f t="shared" si="2"/>
        <v>819.84375221241146</v>
      </c>
    </row>
    <row r="21" spans="1:6" ht="15" thickBot="1" x14ac:dyDescent="0.4">
      <c r="A21" s="8" t="s">
        <v>15</v>
      </c>
      <c r="B21" s="7"/>
      <c r="C21" s="7"/>
      <c r="D21" s="7"/>
      <c r="E21" s="7"/>
      <c r="F21" s="7"/>
    </row>
    <row r="22" spans="1:6" x14ac:dyDescent="0.35">
      <c r="A22" t="s">
        <v>52</v>
      </c>
      <c r="B22" s="6">
        <f>'B&amp;M Operating Model'!K19+'Poundland Operating Model'!K19</f>
        <v>345.87314325</v>
      </c>
      <c r="C22" s="6">
        <f>'B&amp;M Operating Model'!L19+'Poundland Operating Model'!L19</f>
        <v>350.68296133074995</v>
      </c>
      <c r="D22" s="6">
        <f>'B&amp;M Operating Model'!M19+'Poundland Operating Model'!M19</f>
        <v>356.16417110869367</v>
      </c>
      <c r="E22" s="6">
        <f>'B&amp;M Operating Model'!N19+'Poundland Operating Model'!N19</f>
        <v>363.8488695386568</v>
      </c>
      <c r="F22" s="6">
        <f>'B&amp;M Operating Model'!O19+'Poundland Operating Model'!O19</f>
        <v>373.2752797681303</v>
      </c>
    </row>
    <row r="23" spans="1:6" x14ac:dyDescent="0.35">
      <c r="A23" t="s">
        <v>296</v>
      </c>
      <c r="B23" s="6">
        <f>B19-B22</f>
        <v>489.4751804461539</v>
      </c>
      <c r="C23" s="6">
        <f t="shared" ref="C23:F23" si="3">C19-C22</f>
        <v>471.17098496894999</v>
      </c>
      <c r="D23" s="6">
        <f t="shared" si="3"/>
        <v>475.50644916122013</v>
      </c>
      <c r="E23" s="6">
        <f t="shared" si="3"/>
        <v>475.30823120069044</v>
      </c>
      <c r="F23" s="6">
        <f t="shared" si="3"/>
        <v>446.56847244428116</v>
      </c>
    </row>
    <row r="24" spans="1:6" x14ac:dyDescent="0.35">
      <c r="A24" t="s">
        <v>16</v>
      </c>
      <c r="B24" s="23">
        <f>B23/B11</f>
        <v>6.7595086881421587E-2</v>
      </c>
      <c r="C24" s="23">
        <f t="shared" ref="C24:F24" si="4">C23/C11</f>
        <v>6.2992576744884857E-2</v>
      </c>
      <c r="D24" s="23">
        <f t="shared" si="4"/>
        <v>6.1381453601290763E-2</v>
      </c>
      <c r="E24" s="23">
        <f t="shared" si="4"/>
        <v>5.9107264608176766E-2</v>
      </c>
      <c r="F24" s="23">
        <f t="shared" si="4"/>
        <v>5.3606518760970043E-2</v>
      </c>
    </row>
    <row r="26" spans="1:6" ht="15" thickBot="1" x14ac:dyDescent="0.4">
      <c r="A26" s="8" t="s">
        <v>225</v>
      </c>
      <c r="B26" s="7"/>
      <c r="C26" s="7"/>
      <c r="D26" s="7"/>
      <c r="E26" s="7"/>
      <c r="F26" s="7"/>
    </row>
    <row r="27" spans="1:6" x14ac:dyDescent="0.35">
      <c r="A27" t="s">
        <v>297</v>
      </c>
      <c r="B27" s="6">
        <f>B23</f>
        <v>489.4751804461539</v>
      </c>
      <c r="C27" s="6">
        <f t="shared" ref="C27:F27" si="5">C23</f>
        <v>471.17098496894999</v>
      </c>
      <c r="D27" s="6">
        <f t="shared" si="5"/>
        <v>475.50644916122013</v>
      </c>
      <c r="E27" s="6">
        <f t="shared" si="5"/>
        <v>475.30823120069044</v>
      </c>
      <c r="F27" s="6">
        <f t="shared" si="5"/>
        <v>446.56847244428116</v>
      </c>
    </row>
    <row r="28" spans="1:6" x14ac:dyDescent="0.35">
      <c r="A28" t="s">
        <v>298</v>
      </c>
      <c r="B28" s="4">
        <f>(Valuation!B14*'B&amp;M Operating Model'!F18)+(Valuation!K15*'Poundland Operating Model'!F18)+'M&amp;A Analysis'!B47</f>
        <v>96.261340614127164</v>
      </c>
      <c r="C28" s="4">
        <f>(Valuation!B14*'B&amp;M Operating Model'!F18)+(Valuation!K15*'Poundland Operating Model'!F18)+'M&amp;A Analysis'!B47</f>
        <v>96.261340614127164</v>
      </c>
      <c r="D28" s="4">
        <f>(Valuation!B14*'B&amp;M Operating Model'!F18)+(Valuation!K15*'Poundland Operating Model'!F18)+'M&amp;A Analysis'!B47</f>
        <v>96.261340614127164</v>
      </c>
      <c r="E28" s="4">
        <f>(Valuation!B14*'B&amp;M Operating Model'!F18)+(Valuation!K15*'Poundland Operating Model'!F18)+'M&amp;A Analysis'!B47</f>
        <v>96.261340614127164</v>
      </c>
      <c r="F28" s="4">
        <f>(Valuation!B14*'B&amp;M Operating Model'!F18)+(Valuation!K15*'Poundland Operating Model'!F18)+'M&amp;A Analysis'!B47</f>
        <v>96.261340614127164</v>
      </c>
    </row>
    <row r="29" spans="1:6" x14ac:dyDescent="0.35">
      <c r="A29" t="s">
        <v>299</v>
      </c>
      <c r="B29" s="6">
        <f>B27-B28</f>
        <v>393.21383983202674</v>
      </c>
      <c r="C29" s="6">
        <f t="shared" ref="C29:F29" si="6">C27-C28</f>
        <v>374.90964435482283</v>
      </c>
      <c r="D29" s="6">
        <f t="shared" si="6"/>
        <v>379.24510854709297</v>
      </c>
      <c r="E29" s="6">
        <f t="shared" si="6"/>
        <v>379.04689058656328</v>
      </c>
      <c r="F29" s="6">
        <f t="shared" si="6"/>
        <v>350.30713183015399</v>
      </c>
    </row>
    <row r="30" spans="1:6" x14ac:dyDescent="0.35">
      <c r="A30" t="s">
        <v>54</v>
      </c>
      <c r="B30" s="6">
        <f>Valuation!B10*B29</f>
        <v>98.303459958006684</v>
      </c>
      <c r="C30" s="6">
        <f>Valuation!B10*C29</f>
        <v>93.727411088705708</v>
      </c>
      <c r="D30" s="6">
        <f>Valuation!B10*D29</f>
        <v>94.811277136773242</v>
      </c>
      <c r="E30" s="6">
        <f>Valuation!B10*E29</f>
        <v>94.76172264664082</v>
      </c>
      <c r="F30" s="6">
        <f>Valuation!B10*F29</f>
        <v>87.576782957538498</v>
      </c>
    </row>
    <row r="31" spans="1:6" x14ac:dyDescent="0.35">
      <c r="A31" t="s">
        <v>300</v>
      </c>
      <c r="B31" s="6">
        <f>B29-B30</f>
        <v>294.91037987402007</v>
      </c>
      <c r="C31" s="6">
        <f t="shared" ref="C31:F31" si="7">C29-C30</f>
        <v>281.18223326611712</v>
      </c>
      <c r="D31" s="6">
        <f>D29-D30</f>
        <v>284.43383141031973</v>
      </c>
      <c r="E31" s="6">
        <f t="shared" si="7"/>
        <v>284.28516793992247</v>
      </c>
      <c r="F31" s="6">
        <f t="shared" si="7"/>
        <v>262.73034887261548</v>
      </c>
    </row>
    <row r="32" spans="1:6" x14ac:dyDescent="0.35">
      <c r="A32" t="s">
        <v>17</v>
      </c>
      <c r="B32" s="23">
        <f>B31/B11</f>
        <v>4.0726258544196772E-2</v>
      </c>
      <c r="C32" s="23">
        <f t="shared" ref="C32:F32" si="8">C31/C11</f>
        <v>3.7592283848890309E-2</v>
      </c>
      <c r="D32" s="23">
        <f t="shared" si="8"/>
        <v>3.6716562006986475E-2</v>
      </c>
      <c r="E32" s="23">
        <f t="shared" si="8"/>
        <v>3.5352467183573905E-2</v>
      </c>
      <c r="F32" s="23">
        <f t="shared" si="8"/>
        <v>3.1538409549665088E-2</v>
      </c>
    </row>
    <row r="36" spans="1:6" ht="15" thickBot="1" x14ac:dyDescent="0.4">
      <c r="A36" s="8" t="s">
        <v>301</v>
      </c>
      <c r="B36" s="8" t="s">
        <v>41</v>
      </c>
      <c r="C36" s="8" t="s">
        <v>42</v>
      </c>
      <c r="D36" s="8" t="s">
        <v>43</v>
      </c>
      <c r="E36" s="8" t="s">
        <v>44</v>
      </c>
      <c r="F36" s="8" t="s">
        <v>45</v>
      </c>
    </row>
    <row r="37" spans="1:6" x14ac:dyDescent="0.35">
      <c r="A37" t="s">
        <v>296</v>
      </c>
      <c r="B37" s="6">
        <f>B23</f>
        <v>489.4751804461539</v>
      </c>
      <c r="C37" s="6">
        <f t="shared" ref="C37:F37" si="9">C23</f>
        <v>471.17098496894999</v>
      </c>
      <c r="D37" s="6">
        <f t="shared" si="9"/>
        <v>475.50644916122013</v>
      </c>
      <c r="E37" s="6">
        <f t="shared" si="9"/>
        <v>475.30823120069044</v>
      </c>
      <c r="F37" s="6">
        <f t="shared" si="9"/>
        <v>446.56847244428116</v>
      </c>
    </row>
    <row r="38" spans="1:6" x14ac:dyDescent="0.35">
      <c r="A38" t="s">
        <v>54</v>
      </c>
      <c r="B38" s="4">
        <f>Valuation!B10*B37</f>
        <v>122.36879511153847</v>
      </c>
      <c r="C38" s="4">
        <f>Valuation!B10*C37</f>
        <v>117.7927462422375</v>
      </c>
      <c r="D38" s="4">
        <f>Valuation!B10*D37</f>
        <v>118.87661229030503</v>
      </c>
      <c r="E38" s="4">
        <f>Valuation!B10*E37</f>
        <v>118.82705780017261</v>
      </c>
      <c r="F38" s="4">
        <f>Valuation!B10*F37</f>
        <v>111.64211811107029</v>
      </c>
    </row>
    <row r="39" spans="1:6" x14ac:dyDescent="0.35">
      <c r="A39" t="s">
        <v>83</v>
      </c>
      <c r="B39" s="6">
        <f>B37-B38</f>
        <v>367.10638533461542</v>
      </c>
      <c r="C39" s="6">
        <f t="shared" ref="C39:F39" si="10">C37-C38</f>
        <v>353.37823872671248</v>
      </c>
      <c r="D39" s="6">
        <f t="shared" si="10"/>
        <v>356.62983687091509</v>
      </c>
      <c r="E39" s="6">
        <f t="shared" si="10"/>
        <v>356.48117340051783</v>
      </c>
      <c r="F39" s="6">
        <f t="shared" si="10"/>
        <v>334.92635433321084</v>
      </c>
    </row>
    <row r="40" spans="1:6" x14ac:dyDescent="0.35">
      <c r="A40" t="s">
        <v>52</v>
      </c>
      <c r="B40" s="6">
        <f>B22</f>
        <v>345.87314325</v>
      </c>
      <c r="C40" s="6">
        <f t="shared" ref="C40:F40" si="11">C22</f>
        <v>350.68296133074995</v>
      </c>
      <c r="D40" s="6">
        <f t="shared" si="11"/>
        <v>356.16417110869367</v>
      </c>
      <c r="E40" s="6">
        <f t="shared" si="11"/>
        <v>363.8488695386568</v>
      </c>
      <c r="F40" s="6">
        <f t="shared" si="11"/>
        <v>373.2752797681303</v>
      </c>
    </row>
    <row r="41" spans="1:6" x14ac:dyDescent="0.35">
      <c r="A41" t="s">
        <v>53</v>
      </c>
      <c r="B41" s="6">
        <f>'B&amp;M Operating Model'!K28+'Poundland Operating Model'!K28</f>
        <v>181.95562200000001</v>
      </c>
      <c r="C41" s="6">
        <f>'B&amp;M Operating Model'!L28+'Poundland Operating Model'!L28</f>
        <v>197.59332785349997</v>
      </c>
      <c r="D41" s="6">
        <f>'B&amp;M Operating Model'!M28+'Poundland Operating Model'!M28</f>
        <v>212.00464427849994</v>
      </c>
      <c r="E41" s="6">
        <f>'B&amp;M Operating Model'!N28+'Poundland Operating Model'!N28</f>
        <v>227.70833181863335</v>
      </c>
      <c r="F41" s="6">
        <f>'B&amp;M Operating Model'!O28+'Poundland Operating Model'!O28</f>
        <v>244.25157179733495</v>
      </c>
    </row>
    <row r="42" spans="1:6" x14ac:dyDescent="0.35">
      <c r="A42" t="s">
        <v>302</v>
      </c>
      <c r="B42" s="6">
        <f>'B&amp;M Operating Model'!K31+'Poundland Operating Model'!K31</f>
        <v>4.7897129999999848</v>
      </c>
      <c r="C42" s="6">
        <f>'B&amp;M Operating Model'!L31+'Poundland Operating Model'!L31</f>
        <v>11.667082694999934</v>
      </c>
      <c r="D42" s="6">
        <f>'B&amp;M Operating Model'!M31+'Poundland Operating Model'!M31</f>
        <v>11.785521577374968</v>
      </c>
      <c r="E42" s="6">
        <f>'B&amp;M Operating Model'!N31+'Poundland Operating Model'!N31</f>
        <v>11.899276104533136</v>
      </c>
      <c r="F42" s="6">
        <f>'B&amp;M Operating Model'!O31+'Poundland Operating Model'!O31</f>
        <v>12.31575076819173</v>
      </c>
    </row>
    <row r="43" spans="1:6" x14ac:dyDescent="0.35">
      <c r="A43" t="s">
        <v>303</v>
      </c>
      <c r="B43" s="6">
        <f>B39+B40-B41-B42</f>
        <v>526.23419358461535</v>
      </c>
      <c r="C43" s="6">
        <f t="shared" ref="C43:F43" si="12">C39+C40-C41-C42</f>
        <v>494.80078950896251</v>
      </c>
      <c r="D43" s="6">
        <f t="shared" si="12"/>
        <v>489.00384212373382</v>
      </c>
      <c r="E43" s="6">
        <f t="shared" si="12"/>
        <v>480.72243501600809</v>
      </c>
      <c r="F43" s="6">
        <f t="shared" si="12"/>
        <v>451.6343115358145</v>
      </c>
    </row>
    <row r="44" spans="1:6" x14ac:dyDescent="0.35">
      <c r="A44" t="s">
        <v>211</v>
      </c>
      <c r="B44" s="6">
        <f>'Synergies and Integration'!B49</f>
        <v>23</v>
      </c>
      <c r="C44" s="6">
        <f>'Synergies and Integration'!C49</f>
        <v>16.5</v>
      </c>
      <c r="D44" s="6">
        <f>'Synergies and Integration'!D49</f>
        <v>11</v>
      </c>
      <c r="E44" s="6">
        <f>'Synergies and Integration'!E49</f>
        <v>0</v>
      </c>
      <c r="F44" s="6">
        <f>'Synergies and Integration'!F49</f>
        <v>0</v>
      </c>
    </row>
    <row r="45" spans="1:6" x14ac:dyDescent="0.35">
      <c r="A45" t="s">
        <v>304</v>
      </c>
      <c r="B45" s="6">
        <f>'M&amp;A Analysis'!B15+'M&amp;A Analysis'!B48</f>
        <v>6.0595420901216883</v>
      </c>
      <c r="C45" s="4">
        <v>0</v>
      </c>
      <c r="D45" s="4">
        <v>0</v>
      </c>
      <c r="E45" s="4">
        <v>0</v>
      </c>
      <c r="F45" s="4">
        <v>0</v>
      </c>
    </row>
    <row r="46" spans="1:6" x14ac:dyDescent="0.35">
      <c r="A46" t="s">
        <v>305</v>
      </c>
      <c r="B46" s="6">
        <f>B43-B44-B45</f>
        <v>497.17465149449367</v>
      </c>
      <c r="C46" s="6">
        <f t="shared" ref="C46:F46" si="13">C43-C44-C45</f>
        <v>478.30078950896251</v>
      </c>
      <c r="D46" s="6">
        <f t="shared" si="13"/>
        <v>478.00384212373382</v>
      </c>
      <c r="E46" s="6">
        <f t="shared" si="13"/>
        <v>480.72243501600809</v>
      </c>
      <c r="F46" s="6">
        <f t="shared" si="13"/>
        <v>451.6343115358145</v>
      </c>
    </row>
    <row r="47" spans="1:6" x14ac:dyDescent="0.35">
      <c r="A47" t="s">
        <v>24</v>
      </c>
      <c r="B47" s="23">
        <f>B46/B11</f>
        <v>6.865836125210395E-2</v>
      </c>
      <c r="C47" s="23">
        <f t="shared" ref="C47:F47" si="14">C46/C11</f>
        <v>6.3945786458535547E-2</v>
      </c>
      <c r="D47" s="23">
        <f t="shared" si="14"/>
        <v>6.1703833267272433E-2</v>
      </c>
      <c r="E47" s="23">
        <f t="shared" si="14"/>
        <v>5.9780551449320186E-2</v>
      </c>
      <c r="F47" s="23">
        <f t="shared" si="14"/>
        <v>5.4214627069230033E-2</v>
      </c>
    </row>
    <row r="48" spans="1:6" x14ac:dyDescent="0.35">
      <c r="A48" t="s">
        <v>306</v>
      </c>
      <c r="B48" s="6">
        <f>B46-Valuation!B32</f>
        <v>-16.777756380506389</v>
      </c>
      <c r="C48" s="6">
        <f>C46-Valuation!C32</f>
        <v>6.1228363627125759</v>
      </c>
      <c r="D48" s="6">
        <f>D46-Valuation!D32</f>
        <v>29.756831312008956</v>
      </c>
      <c r="E48" s="6">
        <f>E46-Valuation!E32</f>
        <v>70.646545438232579</v>
      </c>
      <c r="F48" s="6">
        <f>F46-Valuation!F32</f>
        <v>77.988173960040228</v>
      </c>
    </row>
    <row r="49" spans="1:6" x14ac:dyDescent="0.35">
      <c r="A49" t="s">
        <v>226</v>
      </c>
      <c r="B49" s="6">
        <f>SUM(B48)</f>
        <v>-16.777756380506389</v>
      </c>
      <c r="C49" s="6">
        <f>SUM(B48:C48)</f>
        <v>-10.654920017793813</v>
      </c>
      <c r="D49" s="6">
        <f>SUM(B48:D48)</f>
        <v>19.101911294215142</v>
      </c>
      <c r="E49" s="6">
        <f>SUM(B48:E48)</f>
        <v>89.748456732447721</v>
      </c>
      <c r="F49" s="6">
        <f>SUM(B48:F48)</f>
        <v>167.73663069248795</v>
      </c>
    </row>
    <row r="53" spans="1:6" x14ac:dyDescent="0.35">
      <c r="A53" s="3" t="s">
        <v>316</v>
      </c>
    </row>
    <row r="54" spans="1:6" ht="15" thickBot="1" x14ac:dyDescent="0.4">
      <c r="A54" s="8" t="s">
        <v>398</v>
      </c>
      <c r="B54" s="8" t="s">
        <v>41</v>
      </c>
      <c r="C54" s="8" t="s">
        <v>42</v>
      </c>
      <c r="D54" s="8" t="s">
        <v>43</v>
      </c>
      <c r="E54" s="8" t="s">
        <v>44</v>
      </c>
      <c r="F54" s="8" t="s">
        <v>45</v>
      </c>
    </row>
    <row r="55" spans="1:6" x14ac:dyDescent="0.35">
      <c r="A55" t="s">
        <v>233</v>
      </c>
      <c r="B55" s="6">
        <f>'B&amp;M Operating Model'!K15</f>
        <v>5765.9849999999997</v>
      </c>
      <c r="C55" s="6">
        <f>'B&amp;M Operating Model'!L15</f>
        <v>5967.7944749999988</v>
      </c>
      <c r="D55" s="6">
        <f>'B&amp;M Operating Model'!M15</f>
        <v>6176.6672816249984</v>
      </c>
      <c r="E55" s="6">
        <f>'B&amp;M Operating Model'!N15</f>
        <v>6392.8506364818732</v>
      </c>
      <c r="F55" s="6">
        <f>'B&amp;M Operating Model'!O15</f>
        <v>6616.600408758738</v>
      </c>
    </row>
    <row r="56" spans="1:6" x14ac:dyDescent="0.35">
      <c r="A56" t="s">
        <v>294</v>
      </c>
      <c r="B56" s="6">
        <f>B11</f>
        <v>7241.2833983749997</v>
      </c>
      <c r="C56" s="6">
        <f t="shared" ref="C56:F56" si="15">C11</f>
        <v>7479.7858623430611</v>
      </c>
      <c r="D56" s="6">
        <f t="shared" si="15"/>
        <v>7746.7446804032825</v>
      </c>
      <c r="E56" s="6">
        <f t="shared" si="15"/>
        <v>8041.4520000463253</v>
      </c>
      <c r="F56" s="6">
        <f t="shared" si="15"/>
        <v>8330.4882086359194</v>
      </c>
    </row>
    <row r="57" spans="1:6" x14ac:dyDescent="0.35">
      <c r="A57" t="s">
        <v>227</v>
      </c>
      <c r="B57" s="23">
        <f>B56/B55-1</f>
        <v>0.25586233720257678</v>
      </c>
      <c r="C57" s="23">
        <f t="shared" ref="C57:F57" si="16">C56/C55-1</f>
        <v>0.25335848841259945</v>
      </c>
      <c r="D57" s="23">
        <f t="shared" si="16"/>
        <v>0.25419491243265058</v>
      </c>
      <c r="E57" s="23">
        <f t="shared" si="16"/>
        <v>0.25788204000206605</v>
      </c>
      <c r="F57" s="23">
        <f t="shared" si="16"/>
        <v>0.25902845781776684</v>
      </c>
    </row>
    <row r="59" spans="1:6" x14ac:dyDescent="0.35">
      <c r="A59" t="s">
        <v>234</v>
      </c>
      <c r="B59" s="6">
        <f>'B&amp;M Operating Model'!K17</f>
        <v>778.40797499999996</v>
      </c>
      <c r="C59" s="6">
        <f>'B&amp;M Operating Model'!L17</f>
        <v>745.97430937499985</v>
      </c>
      <c r="D59" s="6">
        <f>'B&amp;M Operating Model'!M17</f>
        <v>725.75840559093729</v>
      </c>
      <c r="E59" s="6">
        <f>'B&amp;M Operating Model'!N17</f>
        <v>687.23144342180137</v>
      </c>
      <c r="F59" s="6">
        <f>'B&amp;M Operating Model'!O17</f>
        <v>651.73514026273574</v>
      </c>
    </row>
    <row r="60" spans="1:6" x14ac:dyDescent="0.35">
      <c r="A60" t="s">
        <v>295</v>
      </c>
      <c r="B60" s="6">
        <f>B19</f>
        <v>835.3483236961539</v>
      </c>
      <c r="C60" s="6">
        <f t="shared" ref="C60:F60" si="17">C19</f>
        <v>821.85394629969994</v>
      </c>
      <c r="D60" s="6">
        <f t="shared" si="17"/>
        <v>831.6706202699138</v>
      </c>
      <c r="E60" s="6">
        <f t="shared" si="17"/>
        <v>839.15710073934724</v>
      </c>
      <c r="F60" s="6">
        <f t="shared" si="17"/>
        <v>819.84375221241146</v>
      </c>
    </row>
    <row r="61" spans="1:6" x14ac:dyDescent="0.35">
      <c r="A61" t="s">
        <v>228</v>
      </c>
      <c r="B61" s="23">
        <f>B60/B59-1</f>
        <v>7.3149749906087358E-2</v>
      </c>
      <c r="C61" s="23">
        <f t="shared" ref="C61:F61" si="18">C60/C59-1</f>
        <v>0.10171883397469061</v>
      </c>
      <c r="D61" s="23">
        <f t="shared" si="18"/>
        <v>0.14593315607931423</v>
      </c>
      <c r="E61" s="23">
        <f t="shared" si="18"/>
        <v>0.22106913001694339</v>
      </c>
      <c r="F61" s="23">
        <f t="shared" si="18"/>
        <v>0.25794007651928297</v>
      </c>
    </row>
    <row r="63" spans="1:6" x14ac:dyDescent="0.35">
      <c r="A63" t="s">
        <v>235</v>
      </c>
      <c r="B63" s="6">
        <f>Valuation!B32</f>
        <v>513.95240787500006</v>
      </c>
      <c r="C63" s="6">
        <f>Valuation!C32</f>
        <v>472.17795314624993</v>
      </c>
      <c r="D63" s="6">
        <f>Valuation!D32</f>
        <v>448.24701081172486</v>
      </c>
      <c r="E63" s="6">
        <f>Valuation!E32</f>
        <v>410.07588957777551</v>
      </c>
      <c r="F63" s="6">
        <f>Valuation!F32</f>
        <v>373.64613757577428</v>
      </c>
    </row>
    <row r="64" spans="1:6" x14ac:dyDescent="0.35">
      <c r="A64" t="s">
        <v>305</v>
      </c>
      <c r="B64" s="6">
        <f>B46</f>
        <v>497.17465149449367</v>
      </c>
      <c r="C64" s="6">
        <f t="shared" ref="C64:F64" si="19">C46</f>
        <v>478.30078950896251</v>
      </c>
      <c r="D64" s="6">
        <f t="shared" si="19"/>
        <v>478.00384212373382</v>
      </c>
      <c r="E64" s="6">
        <f t="shared" si="19"/>
        <v>480.72243501600809</v>
      </c>
      <c r="F64" s="6">
        <f t="shared" si="19"/>
        <v>451.6343115358145</v>
      </c>
    </row>
    <row r="65" spans="1:6" x14ac:dyDescent="0.35">
      <c r="A65" t="s">
        <v>229</v>
      </c>
      <c r="B65" s="6">
        <f>B64-B63</f>
        <v>-16.777756380506389</v>
      </c>
      <c r="C65" s="6">
        <f t="shared" ref="C65:F65" si="20">C64-C63</f>
        <v>6.1228363627125759</v>
      </c>
      <c r="D65" s="6">
        <f t="shared" si="20"/>
        <v>29.756831312008956</v>
      </c>
      <c r="E65" s="6">
        <f t="shared" si="20"/>
        <v>70.646545438232579</v>
      </c>
      <c r="F65" s="6">
        <f t="shared" si="20"/>
        <v>77.988173960040228</v>
      </c>
    </row>
    <row r="67" spans="1:6" x14ac:dyDescent="0.35">
      <c r="A67" t="s">
        <v>236</v>
      </c>
      <c r="B67" s="25">
        <f>'B&amp;M Operating Model'!F20/B59</f>
        <v>1.1960309116822705</v>
      </c>
      <c r="C67" s="25">
        <f>'B&amp;M Operating Model'!F20/C59</f>
        <v>1.2480322556684564</v>
      </c>
      <c r="D67" s="25">
        <f>'B&amp;M Operating Model'!F20/D59</f>
        <v>1.2827960280280157</v>
      </c>
      <c r="E67" s="25">
        <f>'B&amp;M Operating Model'!F20/E59</f>
        <v>1.3547110058940959</v>
      </c>
      <c r="F67" s="25">
        <f>'B&amp;M Operating Model'!F20/F59</f>
        <v>1.428494402840828</v>
      </c>
    </row>
    <row r="68" spans="1:6" x14ac:dyDescent="0.35">
      <c r="A68" t="s">
        <v>330</v>
      </c>
      <c r="B68" s="25">
        <f>'M&amp;A Analysis'!C53/B60</f>
        <v>1.3098582273381887</v>
      </c>
      <c r="C68" s="25">
        <f>'M&amp;A Analysis'!C53/C60</f>
        <v>1.3313653592746291</v>
      </c>
      <c r="D68" s="25">
        <f>'M&amp;A Analysis'!C53/D60</f>
        <v>1.3156505085287964</v>
      </c>
      <c r="E68" s="25">
        <f>'M&amp;A Analysis'!C53/E60</f>
        <v>1.303913025966803</v>
      </c>
      <c r="F68" s="25">
        <f>'M&amp;A Analysis'!C53/F60</f>
        <v>1.334629765164181</v>
      </c>
    </row>
    <row r="69" spans="1:6" x14ac:dyDescent="0.35">
      <c r="A69" t="s">
        <v>230</v>
      </c>
      <c r="B69" s="26">
        <f>B68-B67</f>
        <v>0.11382731565591819</v>
      </c>
      <c r="C69" s="26">
        <f t="shared" ref="C69:F69" si="21">C68-C67</f>
        <v>8.3333103606172632E-2</v>
      </c>
      <c r="D69" s="26">
        <f t="shared" si="21"/>
        <v>3.2854480500780658E-2</v>
      </c>
      <c r="E69" s="26">
        <f t="shared" si="21"/>
        <v>-5.0797979927292847E-2</v>
      </c>
      <c r="F69" s="26">
        <f t="shared" si="21"/>
        <v>-9.3864637676646989E-2</v>
      </c>
    </row>
    <row r="73" spans="1:6" x14ac:dyDescent="0.35">
      <c r="A73" s="3" t="s">
        <v>237</v>
      </c>
    </row>
    <row r="74" spans="1:6" ht="15" thickBot="1" x14ac:dyDescent="0.4">
      <c r="A74" s="8" t="s">
        <v>398</v>
      </c>
      <c r="B74" s="8" t="s">
        <v>41</v>
      </c>
      <c r="C74" s="8" t="s">
        <v>42</v>
      </c>
      <c r="D74" s="8" t="s">
        <v>43</v>
      </c>
      <c r="E74" s="8" t="s">
        <v>44</v>
      </c>
      <c r="F74" s="8" t="s">
        <v>45</v>
      </c>
    </row>
    <row r="75" spans="1:6" x14ac:dyDescent="0.35">
      <c r="A75" t="s">
        <v>307</v>
      </c>
      <c r="B75" s="6">
        <f>'B&amp;M Operating Model'!K25</f>
        <v>316.63957687499999</v>
      </c>
      <c r="C75" s="6">
        <f>'B&amp;M Operating Model'!L25</f>
        <v>287.21143093124994</v>
      </c>
      <c r="D75" s="6">
        <f>'B&amp;M Operating Model'!M25</f>
        <v>266.84633228531243</v>
      </c>
      <c r="E75" s="6">
        <f>'B&amp;M Operating Model'!N25</f>
        <v>232.646897630365</v>
      </c>
      <c r="F75" s="6">
        <f>'B&amp;M Operating Model'!O25</f>
        <v>200.61871594159084</v>
      </c>
    </row>
    <row r="76" spans="1:6" x14ac:dyDescent="0.35">
      <c r="A76" t="s">
        <v>308</v>
      </c>
      <c r="B76" s="6">
        <f>'Poundland Operating Model'!K25</f>
        <v>-14.844276374999996</v>
      </c>
      <c r="C76" s="6">
        <f>'Poundland Operating Model'!L25</f>
        <v>-7.1679419405624909</v>
      </c>
      <c r="D76" s="6">
        <f>'Poundland Operating Model'!M25</f>
        <v>6.5273616234796883</v>
      </c>
      <c r="E76" s="6">
        <f>'Poundland Operating Model'!N25</f>
        <v>25.904535761254095</v>
      </c>
      <c r="F76" s="6">
        <f>'Poundland Operating Model'!O25</f>
        <v>26.944444106647978</v>
      </c>
    </row>
    <row r="77" spans="1:6" x14ac:dyDescent="0.35">
      <c r="A77" t="s">
        <v>372</v>
      </c>
      <c r="B77" s="6">
        <f>'Synergies and Integration'!B56*(1-Valuation!B10)</f>
        <v>0.55185725625000004</v>
      </c>
      <c r="C77" s="6">
        <f>'Synergies and Integration'!C56*(1-Valuation!B10)</f>
        <v>2.7446620639593746</v>
      </c>
      <c r="D77" s="6">
        <f>'Synergies and Integration'!D56*(1-Valuation!B10)</f>
        <v>5.8562126283051548</v>
      </c>
      <c r="E77" s="6">
        <f>'Synergies and Integration'!E56*(1-Valuation!B10)</f>
        <v>9.5968684446350707</v>
      </c>
      <c r="F77" s="6">
        <f>'Synergies and Integration'!F56*(1-Valuation!B10)</f>
        <v>11.070567128393273</v>
      </c>
    </row>
    <row r="78" spans="1:6" x14ac:dyDescent="0.35">
      <c r="A78" t="s">
        <v>373</v>
      </c>
      <c r="B78" s="6">
        <f>'Synergies and Integration'!B57*(1-Valuation!B10)</f>
        <v>3.5233963283653833</v>
      </c>
      <c r="C78" s="6">
        <f>'Synergies and Integration'!C57*(1-Valuation!B10)</f>
        <v>9.3542564220656246</v>
      </c>
      <c r="D78" s="6">
        <f>'Synergies and Integration'!D57*(1-Valuation!B10)</f>
        <v>16.164099083817888</v>
      </c>
      <c r="E78" s="6">
        <f>'Synergies and Integration'!E57*(1-Valuation!B10)</f>
        <v>27.097040314263726</v>
      </c>
      <c r="F78" s="6">
        <f>'Synergies and Integration'!F57*(1-Valuation!B10)</f>
        <v>35.056795906578706</v>
      </c>
    </row>
    <row r="79" spans="1:6" x14ac:dyDescent="0.35">
      <c r="A79" t="s">
        <v>309</v>
      </c>
      <c r="B79" s="6">
        <f>'Synergies and Integration'!B59*(1-Valuation!B10)</f>
        <v>17.25</v>
      </c>
      <c r="C79" s="6">
        <f>'Synergies and Integration'!C59*(1-Valuation!B10)</f>
        <v>12.375</v>
      </c>
      <c r="D79" s="6">
        <f>'Synergies and Integration'!D59*(1-Valuation!B10)</f>
        <v>8.25</v>
      </c>
      <c r="E79" s="6">
        <f>'Synergies and Integration'!E59*(1-Valuation!B10)</f>
        <v>0</v>
      </c>
      <c r="F79" s="6">
        <f>'Synergies and Integration'!F59*(1-Valuation!B10)</f>
        <v>0</v>
      </c>
    </row>
    <row r="80" spans="1:6" x14ac:dyDescent="0.35">
      <c r="A80" t="s">
        <v>310</v>
      </c>
      <c r="B80" s="4">
        <f>'M&amp;A Analysis'!B47*(1-Valuation!B10)</f>
        <v>10.960174210595376</v>
      </c>
      <c r="C80" s="4">
        <f>'M&amp;A Analysis'!B47*(1-Valuation!B10)</f>
        <v>10.960174210595376</v>
      </c>
      <c r="D80" s="4">
        <f>'M&amp;A Analysis'!B47*(1-Valuation!B10)</f>
        <v>10.960174210595376</v>
      </c>
      <c r="E80" s="4">
        <f>'M&amp;A Analysis'!B47*(1-Valuation!B10)</f>
        <v>10.960174210595376</v>
      </c>
      <c r="F80" s="4">
        <f>'M&amp;A Analysis'!B47*(1-Valuation!B10)</f>
        <v>10.960174210595376</v>
      </c>
    </row>
    <row r="81" spans="1:6" x14ac:dyDescent="0.35">
      <c r="A81" t="s">
        <v>311</v>
      </c>
      <c r="B81" s="6">
        <f>SUM(B75:B78)-SUM(B79:B80)</f>
        <v>277.66037987402001</v>
      </c>
      <c r="C81" s="6">
        <f t="shared" ref="C81:F81" si="22">SUM(C75:C78)-SUM(C79:C80)</f>
        <v>268.80723326611707</v>
      </c>
      <c r="D81" s="6">
        <f>SUM(D75:D78)-SUM(D79:D80)</f>
        <v>276.18383141031984</v>
      </c>
      <c r="E81" s="6">
        <f t="shared" si="22"/>
        <v>284.28516793992247</v>
      </c>
      <c r="F81" s="6">
        <f t="shared" si="22"/>
        <v>262.73034887261542</v>
      </c>
    </row>
    <row r="83" spans="1:6" x14ac:dyDescent="0.35">
      <c r="A83" t="s">
        <v>238</v>
      </c>
      <c r="B83" s="26">
        <f>Valuation!B76</f>
        <v>1005.038256</v>
      </c>
      <c r="C83" s="26">
        <f>Valuation!B76</f>
        <v>1005.038256</v>
      </c>
      <c r="D83" s="26">
        <f>Valuation!B76</f>
        <v>1005.038256</v>
      </c>
      <c r="E83" s="26">
        <f>Valuation!B76</f>
        <v>1005.038256</v>
      </c>
      <c r="F83" s="26">
        <f>Valuation!B76</f>
        <v>1005.038256</v>
      </c>
    </row>
    <row r="84" spans="1:6" x14ac:dyDescent="0.35">
      <c r="A84" t="s">
        <v>360</v>
      </c>
      <c r="B84" s="26">
        <f>Valuation!B76</f>
        <v>1005.038256</v>
      </c>
      <c r="C84" s="26">
        <f>Valuation!B76</f>
        <v>1005.038256</v>
      </c>
      <c r="D84" s="26">
        <f>Valuation!B76</f>
        <v>1005.038256</v>
      </c>
      <c r="E84" s="26">
        <f>Valuation!B76</f>
        <v>1005.038256</v>
      </c>
      <c r="F84" s="26">
        <f>Valuation!B76</f>
        <v>1005.038256</v>
      </c>
    </row>
    <row r="85" spans="1:6" x14ac:dyDescent="0.35">
      <c r="A85" t="s">
        <v>312</v>
      </c>
      <c r="B85" s="4">
        <f>B75/B83</f>
        <v>0.31505226292102456</v>
      </c>
      <c r="C85" s="4">
        <f t="shared" ref="C85:F85" si="23">C75/C83</f>
        <v>0.28577164025012985</v>
      </c>
      <c r="D85" s="4">
        <f>D75/D83</f>
        <v>0.26550863182795342</v>
      </c>
      <c r="E85" s="4">
        <f t="shared" si="23"/>
        <v>0.23148063891248036</v>
      </c>
      <c r="F85" s="4">
        <f t="shared" si="23"/>
        <v>0.19961301447374041</v>
      </c>
    </row>
    <row r="86" spans="1:6" x14ac:dyDescent="0.35">
      <c r="A86" t="s">
        <v>313</v>
      </c>
      <c r="B86" s="6">
        <f>B81/B84</f>
        <v>0.27626846860446275</v>
      </c>
      <c r="C86" s="6">
        <f>C81/C84</f>
        <v>0.26745970281365794</v>
      </c>
      <c r="D86" s="6">
        <f>D81/D84</f>
        <v>0.27479932207706909</v>
      </c>
      <c r="E86" s="6">
        <f t="shared" ref="C86:F86" si="24">E81/E84</f>
        <v>0.28286004661291464</v>
      </c>
      <c r="F86" s="6">
        <f t="shared" si="24"/>
        <v>0.26141328183692086</v>
      </c>
    </row>
    <row r="87" spans="1:6" x14ac:dyDescent="0.35">
      <c r="A87" t="s">
        <v>314</v>
      </c>
      <c r="B87" s="4">
        <f>B86-B85</f>
        <v>-3.8783794316561815E-2</v>
      </c>
      <c r="C87" s="4">
        <f t="shared" ref="C87:F87" si="25">C86-C85</f>
        <v>-1.8311937436471915E-2</v>
      </c>
      <c r="D87" s="4">
        <f>D86-D85</f>
        <v>9.2906902491156629E-3</v>
      </c>
      <c r="E87" s="4">
        <f t="shared" si="25"/>
        <v>5.1379407700434282E-2</v>
      </c>
      <c r="F87" s="4">
        <f t="shared" si="25"/>
        <v>6.180026736318045E-2</v>
      </c>
    </row>
    <row r="88" spans="1:6" x14ac:dyDescent="0.35">
      <c r="A88" t="s">
        <v>315</v>
      </c>
      <c r="B88" s="12">
        <f>B86/B85-1</f>
        <v>-0.12310273208951339</v>
      </c>
      <c r="C88" s="12">
        <f>C86/C85-1</f>
        <v>-6.4078917769600507E-2</v>
      </c>
      <c r="D88" s="12">
        <f>D86/D85-1</f>
        <v>3.4992045965330121E-2</v>
      </c>
      <c r="E88" s="12">
        <f t="shared" ref="C88:F88" si="26">E86/E85-1</f>
        <v>0.22195984917710598</v>
      </c>
      <c r="F88" s="12">
        <f t="shared" si="26"/>
        <v>0.30960039116743276</v>
      </c>
    </row>
    <row r="90" spans="1:6" x14ac:dyDescent="0.35">
      <c r="A90" t="s">
        <v>241</v>
      </c>
      <c r="B90" t="s">
        <v>399</v>
      </c>
    </row>
  </sheetData>
  <pageMargins left="0.7" right="0.7" top="0.75" bottom="0.75" header="0.3" footer="0.3"/>
  <pageSetup paperSize="9" orientation="portrait" r:id="rId1"/>
  <ignoredErrors>
    <ignoredError sqref="B30:F3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C291-A84B-4EE7-A988-2114C81B8DDB}">
  <dimension ref="A1:J132"/>
  <sheetViews>
    <sheetView showGridLines="0" zoomScale="62" workbookViewId="0">
      <selection activeCell="B136" sqref="B136"/>
    </sheetView>
  </sheetViews>
  <sheetFormatPr defaultRowHeight="14.5" x14ac:dyDescent="0.35"/>
  <cols>
    <col min="1" max="1" width="34.26953125" bestFit="1" customWidth="1"/>
    <col min="2" max="8" width="18.08984375" customWidth="1"/>
  </cols>
  <sheetData>
    <row r="1" spans="1:2" x14ac:dyDescent="0.35">
      <c r="A1" s="3" t="s">
        <v>320</v>
      </c>
    </row>
    <row r="5" spans="1:2" x14ac:dyDescent="0.35">
      <c r="A5" s="3" t="s">
        <v>321</v>
      </c>
    </row>
    <row r="7" spans="1:2" ht="15" thickBot="1" x14ac:dyDescent="0.4">
      <c r="A7" s="8" t="s">
        <v>261</v>
      </c>
      <c r="B7" s="8" t="s">
        <v>100</v>
      </c>
    </row>
    <row r="8" spans="1:2" x14ac:dyDescent="0.35">
      <c r="A8" t="s">
        <v>170</v>
      </c>
      <c r="B8" t="s">
        <v>1</v>
      </c>
    </row>
    <row r="9" spans="1:2" x14ac:dyDescent="0.35">
      <c r="A9" t="s">
        <v>171</v>
      </c>
      <c r="B9" t="s">
        <v>3</v>
      </c>
    </row>
    <row r="10" spans="1:2" x14ac:dyDescent="0.35">
      <c r="A10" t="s">
        <v>243</v>
      </c>
      <c r="B10" s="6">
        <f>'M&amp;A Analysis'!B80</f>
        <v>386.86027176888297</v>
      </c>
    </row>
    <row r="11" spans="1:2" x14ac:dyDescent="0.35">
      <c r="A11" t="s">
        <v>173</v>
      </c>
      <c r="B11" s="14">
        <f>'M&amp;A Analysis'!B11</f>
        <v>0.15</v>
      </c>
    </row>
    <row r="12" spans="1:2" x14ac:dyDescent="0.35">
      <c r="A12" t="s">
        <v>274</v>
      </c>
      <c r="B12" s="6">
        <f>'M&amp;A Analysis'!B14</f>
        <v>434.31927176888297</v>
      </c>
    </row>
    <row r="14" spans="1:2" ht="15" thickBot="1" x14ac:dyDescent="0.4">
      <c r="A14" s="8" t="s">
        <v>262</v>
      </c>
      <c r="B14" s="7"/>
    </row>
    <row r="15" spans="1:2" x14ac:dyDescent="0.35">
      <c r="A15" t="s">
        <v>20</v>
      </c>
      <c r="B15" s="14">
        <f>'M&amp;A Analysis'!B35</f>
        <v>0.5</v>
      </c>
    </row>
    <row r="16" spans="1:2" x14ac:dyDescent="0.35">
      <c r="A16" t="s">
        <v>328</v>
      </c>
      <c r="B16" s="14">
        <f>'M&amp;A Analysis'!B36</f>
        <v>0.5</v>
      </c>
    </row>
    <row r="17" spans="1:2" x14ac:dyDescent="0.35">
      <c r="A17" t="s">
        <v>329</v>
      </c>
      <c r="B17" s="14">
        <f>'M&amp;A Analysis'!B37</f>
        <v>0</v>
      </c>
    </row>
    <row r="18" spans="1:2" x14ac:dyDescent="0.35">
      <c r="A18" t="s">
        <v>330</v>
      </c>
      <c r="B18" s="6">
        <f>'M&amp;A Analysis'!C53</f>
        <v>1094.1878744865717</v>
      </c>
    </row>
    <row r="20" spans="1:2" ht="15" thickBot="1" x14ac:dyDescent="0.4">
      <c r="A20" s="8" t="s">
        <v>325</v>
      </c>
      <c r="B20" s="7"/>
    </row>
    <row r="21" spans="1:2" x14ac:dyDescent="0.35">
      <c r="A21" t="s">
        <v>404</v>
      </c>
      <c r="B21" s="6">
        <f>'Synergies and Integration'!F56</f>
        <v>14.760756171191032</v>
      </c>
    </row>
    <row r="22" spans="1:2" x14ac:dyDescent="0.35">
      <c r="A22" t="s">
        <v>405</v>
      </c>
      <c r="B22" s="6">
        <f>'Synergies and Integration'!F57</f>
        <v>46.74239454210494</v>
      </c>
    </row>
    <row r="23" spans="1:2" x14ac:dyDescent="0.35">
      <c r="A23" t="s">
        <v>406</v>
      </c>
      <c r="B23" s="6">
        <f>'Synergies and Integration'!F50</f>
        <v>50.5</v>
      </c>
    </row>
    <row r="25" spans="1:2" ht="15" thickBot="1" x14ac:dyDescent="0.4">
      <c r="A25" s="8" t="s">
        <v>264</v>
      </c>
      <c r="B25" s="7"/>
    </row>
    <row r="26" spans="1:2" x14ac:dyDescent="0.35">
      <c r="A26" t="s">
        <v>241</v>
      </c>
      <c r="B26" t="str">
        <f>'Accretion &amp; Dilution'!B90</f>
        <v>FY28</v>
      </c>
    </row>
    <row r="27" spans="1:2" x14ac:dyDescent="0.35">
      <c r="A27" t="s">
        <v>265</v>
      </c>
      <c r="B27" s="12">
        <f>'Accretion &amp; Dilution'!F88</f>
        <v>0.30960039116743276</v>
      </c>
    </row>
    <row r="28" spans="1:2" x14ac:dyDescent="0.35">
      <c r="A28" t="s">
        <v>266</v>
      </c>
      <c r="B28" s="6">
        <f>'Accretion &amp; Dilution'!F65</f>
        <v>77.988173960040228</v>
      </c>
    </row>
    <row r="29" spans="1:2" x14ac:dyDescent="0.35">
      <c r="A29" t="s">
        <v>331</v>
      </c>
      <c r="B29" s="6">
        <f>'M&amp;A Analysis'!B68</f>
        <v>17.347902529631483</v>
      </c>
    </row>
    <row r="30" spans="1:2" x14ac:dyDescent="0.35">
      <c r="A30" t="s">
        <v>251</v>
      </c>
      <c r="B30" s="6">
        <f>'M&amp;A Analysis'!B76</f>
        <v>404.20817429851445</v>
      </c>
    </row>
    <row r="31" spans="1:2" x14ac:dyDescent="0.35">
      <c r="A31" t="s">
        <v>252</v>
      </c>
      <c r="B31" s="23">
        <f>'M&amp;A Analysis'!B77</f>
        <v>0.20156923407476368</v>
      </c>
    </row>
    <row r="32" spans="1:2" x14ac:dyDescent="0.35">
      <c r="A32" t="s">
        <v>253</v>
      </c>
      <c r="B32" s="6">
        <f>'M&amp;A Analysis'!B78</f>
        <v>756.47740874524038</v>
      </c>
    </row>
    <row r="33" spans="1:4" x14ac:dyDescent="0.35">
      <c r="A33" t="s">
        <v>332</v>
      </c>
      <c r="B33" s="6">
        <f>'M&amp;A Analysis'!B81</f>
        <v>17.347902529631483</v>
      </c>
    </row>
    <row r="37" spans="1:4" x14ac:dyDescent="0.35">
      <c r="A37" s="3" t="s">
        <v>322</v>
      </c>
    </row>
    <row r="38" spans="1:4" ht="15" thickBot="1" x14ac:dyDescent="0.4">
      <c r="A38" s="8" t="s">
        <v>3</v>
      </c>
      <c r="B38" s="8" t="s">
        <v>135</v>
      </c>
      <c r="C38" s="8" t="s">
        <v>98</v>
      </c>
      <c r="D38" s="8" t="s">
        <v>136</v>
      </c>
    </row>
    <row r="39" spans="1:4" x14ac:dyDescent="0.35">
      <c r="A39" t="s">
        <v>176</v>
      </c>
      <c r="B39" s="6">
        <f>Valuation!B122</f>
        <v>243.48262329899069</v>
      </c>
      <c r="C39" s="6">
        <f>Valuation!C122</f>
        <v>325.56383568888685</v>
      </c>
      <c r="D39" s="6">
        <f>Valuation!D122</f>
        <v>472.98001794098212</v>
      </c>
    </row>
    <row r="40" spans="1:4" x14ac:dyDescent="0.35">
      <c r="A40" t="s">
        <v>178</v>
      </c>
      <c r="B40" s="6">
        <f>Valuation!B124</f>
        <v>285.40085895640976</v>
      </c>
      <c r="C40" s="6">
        <f>Valuation!C124</f>
        <v>347.23663695264872</v>
      </c>
      <c r="D40" s="6">
        <f>Valuation!D124</f>
        <v>409.07241494888757</v>
      </c>
    </row>
    <row r="41" spans="1:4" x14ac:dyDescent="0.35">
      <c r="A41" t="s">
        <v>355</v>
      </c>
      <c r="B41" s="6">
        <f>Valuation!B125</f>
        <v>264.4417411277002</v>
      </c>
      <c r="C41" s="6">
        <f>Valuation!C125</f>
        <v>336.40023632076782</v>
      </c>
      <c r="D41" s="6">
        <f>Valuation!D125</f>
        <v>441.02621644493485</v>
      </c>
    </row>
    <row r="45" spans="1:4" ht="15" thickBot="1" x14ac:dyDescent="0.4">
      <c r="A45" s="8" t="s">
        <v>323</v>
      </c>
      <c r="B45" s="8" t="s">
        <v>100</v>
      </c>
    </row>
    <row r="46" spans="1:4" x14ac:dyDescent="0.35">
      <c r="A46" t="s">
        <v>180</v>
      </c>
      <c r="B46" s="6">
        <f>'M&amp;A Analysis'!B10</f>
        <v>336.40023632076782</v>
      </c>
    </row>
    <row r="47" spans="1:4" x14ac:dyDescent="0.35">
      <c r="A47" t="s">
        <v>173</v>
      </c>
      <c r="B47" s="14">
        <f>'M&amp;A Analysis'!B11</f>
        <v>0.15</v>
      </c>
    </row>
    <row r="48" spans="1:4" x14ac:dyDescent="0.35">
      <c r="A48" t="s">
        <v>357</v>
      </c>
      <c r="B48" s="6">
        <f>'M&amp;A Analysis'!B12</f>
        <v>386.86027176888297</v>
      </c>
    </row>
    <row r="49" spans="1:2" x14ac:dyDescent="0.35">
      <c r="A49" t="s">
        <v>273</v>
      </c>
      <c r="B49" s="6">
        <f>'M&amp;A Analysis'!B13</f>
        <v>47.459000000000003</v>
      </c>
    </row>
    <row r="50" spans="1:2" x14ac:dyDescent="0.35">
      <c r="A50" t="s">
        <v>274</v>
      </c>
      <c r="B50" s="6">
        <f>'M&amp;A Analysis'!B14</f>
        <v>434.31927176888297</v>
      </c>
    </row>
    <row r="51" spans="1:2" x14ac:dyDescent="0.35">
      <c r="A51" t="s">
        <v>361</v>
      </c>
      <c r="B51" s="26">
        <f>B50/'Poundland Operating Model'!K15</f>
        <v>0.29513017192175611</v>
      </c>
    </row>
    <row r="52" spans="1:2" x14ac:dyDescent="0.35">
      <c r="A52" t="s">
        <v>362</v>
      </c>
      <c r="B52" s="26">
        <f>B50/'Poundland Operating Model'!K17</f>
        <v>8.4322906263358881</v>
      </c>
    </row>
    <row r="56" spans="1:2" ht="15" thickBot="1" x14ac:dyDescent="0.4">
      <c r="A56" s="8" t="s">
        <v>324</v>
      </c>
      <c r="B56" s="8" t="s">
        <v>100</v>
      </c>
    </row>
    <row r="57" spans="1:2" x14ac:dyDescent="0.35">
      <c r="A57" t="s">
        <v>187</v>
      </c>
      <c r="B57" s="6">
        <f>'M&amp;A Analysis'!B43</f>
        <v>219.09393724328589</v>
      </c>
    </row>
    <row r="58" spans="1:2" x14ac:dyDescent="0.35">
      <c r="A58" t="s">
        <v>188</v>
      </c>
      <c r="B58" s="6">
        <f>'M&amp;A Analysis'!B44</f>
        <v>219.09393724328589</v>
      </c>
    </row>
    <row r="59" spans="1:2" x14ac:dyDescent="0.35">
      <c r="A59" t="s">
        <v>189</v>
      </c>
      <c r="B59" s="6">
        <f>'M&amp;A Analysis'!B45</f>
        <v>0</v>
      </c>
    </row>
    <row r="60" spans="1:2" x14ac:dyDescent="0.35">
      <c r="A60" t="s">
        <v>186</v>
      </c>
      <c r="B60" s="6">
        <f>'M&amp;A Analysis'!B44</f>
        <v>219.09393724328589</v>
      </c>
    </row>
    <row r="61" spans="1:2" x14ac:dyDescent="0.35">
      <c r="A61" t="s">
        <v>194</v>
      </c>
      <c r="B61" s="6">
        <f>'M&amp;A Analysis'!B47</f>
        <v>14.613565614127168</v>
      </c>
    </row>
    <row r="62" spans="1:2" x14ac:dyDescent="0.35">
      <c r="A62" t="s">
        <v>192</v>
      </c>
      <c r="B62" s="6">
        <f>'M&amp;A Analysis'!B48</f>
        <v>2.190939372432859</v>
      </c>
    </row>
    <row r="63" spans="1:2" x14ac:dyDescent="0.35">
      <c r="A63" t="s">
        <v>330</v>
      </c>
      <c r="B63" s="26">
        <f>'M&amp;A Analysis'!C53/'M&amp;A Analysis'!C54</f>
        <v>1.5767986316870171</v>
      </c>
    </row>
    <row r="64" spans="1:2" x14ac:dyDescent="0.35">
      <c r="A64" t="s">
        <v>419</v>
      </c>
      <c r="B64" s="4">
        <f>'M&amp;A Analysis'!C51</f>
        <v>122.90606275671411</v>
      </c>
    </row>
    <row r="68" spans="1:6" x14ac:dyDescent="0.35">
      <c r="A68" s="3" t="s">
        <v>326</v>
      </c>
    </row>
    <row r="69" spans="1:6" ht="15" thickBot="1" x14ac:dyDescent="0.4">
      <c r="A69" s="8"/>
      <c r="B69" s="8" t="s">
        <v>41</v>
      </c>
      <c r="C69" s="8" t="s">
        <v>42</v>
      </c>
      <c r="D69" s="8" t="s">
        <v>43</v>
      </c>
      <c r="E69" s="8" t="s">
        <v>44</v>
      </c>
      <c r="F69" s="8" t="s">
        <v>45</v>
      </c>
    </row>
    <row r="70" spans="1:6" x14ac:dyDescent="0.35">
      <c r="A70" t="s">
        <v>239</v>
      </c>
      <c r="B70" s="6">
        <f>'Accretion &amp; Dilution'!B85</f>
        <v>0.31505226292102456</v>
      </c>
      <c r="C70" s="6">
        <f>'Accretion &amp; Dilution'!C85</f>
        <v>0.28577164025012985</v>
      </c>
      <c r="D70" s="6">
        <f>'Accretion &amp; Dilution'!D85</f>
        <v>0.26550863182795342</v>
      </c>
      <c r="E70" s="6">
        <f>'Accretion &amp; Dilution'!E85</f>
        <v>0.23148063891248036</v>
      </c>
      <c r="F70" s="6">
        <f>'Accretion &amp; Dilution'!F85</f>
        <v>0.19961301447374041</v>
      </c>
    </row>
    <row r="71" spans="1:6" x14ac:dyDescent="0.35">
      <c r="A71" t="s">
        <v>363</v>
      </c>
      <c r="B71" s="6">
        <f>'Accretion &amp; Dilution'!B86</f>
        <v>0.27626846860446275</v>
      </c>
      <c r="C71" s="6">
        <f>'Accretion &amp; Dilution'!C86</f>
        <v>0.26745970281365794</v>
      </c>
      <c r="D71" s="6">
        <f>'Accretion &amp; Dilution'!D86</f>
        <v>0.27479932207706909</v>
      </c>
      <c r="E71" s="6">
        <f>'Accretion &amp; Dilution'!E86</f>
        <v>0.28286004661291464</v>
      </c>
      <c r="F71" s="6">
        <f>'Accretion &amp; Dilution'!F86</f>
        <v>0.26141328183692086</v>
      </c>
    </row>
    <row r="72" spans="1:6" x14ac:dyDescent="0.35">
      <c r="A72" t="s">
        <v>237</v>
      </c>
      <c r="B72" s="6">
        <f>'Accretion &amp; Dilution'!B87</f>
        <v>-3.8783794316561815E-2</v>
      </c>
      <c r="C72" s="6">
        <f>'Accretion &amp; Dilution'!C87</f>
        <v>-1.8311937436471915E-2</v>
      </c>
      <c r="D72" s="6">
        <f>'Accretion &amp; Dilution'!D87</f>
        <v>9.2906902491156629E-3</v>
      </c>
      <c r="E72" s="6">
        <f>'Accretion &amp; Dilution'!E87</f>
        <v>5.1379407700434282E-2</v>
      </c>
      <c r="F72" s="6">
        <f>'Accretion &amp; Dilution'!F87</f>
        <v>6.180026736318045E-2</v>
      </c>
    </row>
    <row r="73" spans="1:6" x14ac:dyDescent="0.35">
      <c r="A73" t="s">
        <v>240</v>
      </c>
      <c r="B73" s="12">
        <f>'Accretion &amp; Dilution'!B88</f>
        <v>-0.12310273208951339</v>
      </c>
      <c r="C73" s="12">
        <f>'Accretion &amp; Dilution'!C88</f>
        <v>-6.4078917769600507E-2</v>
      </c>
      <c r="D73" s="12">
        <f>'Accretion &amp; Dilution'!D88</f>
        <v>3.4992045965330121E-2</v>
      </c>
      <c r="E73" s="12">
        <f>'Accretion &amp; Dilution'!E88</f>
        <v>0.22195984917710598</v>
      </c>
      <c r="F73" s="12">
        <f>'Accretion &amp; Dilution'!F88</f>
        <v>0.30960039116743276</v>
      </c>
    </row>
    <row r="77" spans="1:6" ht="15" thickBot="1" x14ac:dyDescent="0.4">
      <c r="A77" s="8" t="s">
        <v>327</v>
      </c>
      <c r="B77" s="8" t="s">
        <v>100</v>
      </c>
    </row>
    <row r="78" spans="1:6" x14ac:dyDescent="0.35">
      <c r="A78" t="s">
        <v>244</v>
      </c>
      <c r="B78" s="6">
        <f>('Accretion &amp; Dilution'!B65/(1+Valuation!B19)^1)+('Accretion &amp; Dilution'!C65/(1+Valuation!B19)^2)+('Accretion &amp; Dilution'!D65/(1+Valuation!B19)^3)+('Accretion &amp; Dilution'!E65/(1+Valuation!B19)^4)+('Accretion &amp; Dilution'!F65/(1+Valuation!B19)^5)</f>
        <v>114.89045404697016</v>
      </c>
    </row>
    <row r="79" spans="1:6" x14ac:dyDescent="0.35">
      <c r="A79" t="s">
        <v>245</v>
      </c>
      <c r="B79" s="6">
        <f>'M&amp;A Analysis'!B63</f>
        <v>28.741781385017585</v>
      </c>
    </row>
    <row r="80" spans="1:6" x14ac:dyDescent="0.35">
      <c r="A80" t="s">
        <v>246</v>
      </c>
      <c r="B80" s="6">
        <f>'M&amp;A Analysis'!B64</f>
        <v>88.326132813303971</v>
      </c>
    </row>
    <row r="81" spans="1:8" x14ac:dyDescent="0.35">
      <c r="A81" t="s">
        <v>247</v>
      </c>
      <c r="B81" s="6">
        <f>'M&amp;A Analysis'!B65</f>
        <v>43.685611688040645</v>
      </c>
    </row>
    <row r="82" spans="1:8" x14ac:dyDescent="0.35">
      <c r="A82" t="s">
        <v>248</v>
      </c>
      <c r="B82" s="6">
        <f>'M&amp;A Analysis'!B66</f>
        <v>5.5743645325342621</v>
      </c>
    </row>
    <row r="83" spans="1:8" x14ac:dyDescent="0.35">
      <c r="A83" t="s">
        <v>319</v>
      </c>
      <c r="B83" s="6">
        <f>'M&amp;A Analysis'!B67</f>
        <v>67.807937977746647</v>
      </c>
    </row>
    <row r="84" spans="1:8" x14ac:dyDescent="0.35">
      <c r="A84" t="s">
        <v>249</v>
      </c>
      <c r="B84" s="6">
        <f>'M&amp;A Analysis'!B68</f>
        <v>17.347902529631483</v>
      </c>
    </row>
    <row r="85" spans="1:8" x14ac:dyDescent="0.35">
      <c r="A85" t="s">
        <v>250</v>
      </c>
      <c r="B85" s="23">
        <f>'M&amp;A Analysis'!B69</f>
        <v>4.484281223892491E-2</v>
      </c>
    </row>
    <row r="89" spans="1:8" x14ac:dyDescent="0.35">
      <c r="A89" s="3" t="s">
        <v>257</v>
      </c>
    </row>
    <row r="90" spans="1:8" ht="15" thickBot="1" x14ac:dyDescent="0.4">
      <c r="A90" s="8" t="s">
        <v>364</v>
      </c>
      <c r="B90" s="29">
        <v>0</v>
      </c>
      <c r="C90" s="29">
        <v>0.05</v>
      </c>
      <c r="D90" s="29">
        <v>0.1</v>
      </c>
      <c r="E90" s="29">
        <v>0.15</v>
      </c>
      <c r="F90" s="29">
        <v>0.2</v>
      </c>
      <c r="G90" s="29">
        <v>0.25</v>
      </c>
      <c r="H90" s="29">
        <v>0.3</v>
      </c>
    </row>
    <row r="91" spans="1:8" x14ac:dyDescent="0.35">
      <c r="A91" t="s">
        <v>243</v>
      </c>
      <c r="B91" s="4">
        <f>'M&amp;A Analysis'!B23</f>
        <v>336.40023632076782</v>
      </c>
      <c r="C91" s="4">
        <f>'M&amp;A Analysis'!C23</f>
        <v>353.22024813680622</v>
      </c>
      <c r="D91" s="4">
        <f>'M&amp;A Analysis'!D23</f>
        <v>370.04025995284462</v>
      </c>
      <c r="E91" s="31">
        <f>'M&amp;A Analysis'!E23</f>
        <v>386.86027176888297</v>
      </c>
      <c r="F91" s="4">
        <f>'M&amp;A Analysis'!F23</f>
        <v>403.68028358492137</v>
      </c>
      <c r="G91" s="4">
        <f>'M&amp;A Analysis'!G23</f>
        <v>420.50029540095977</v>
      </c>
      <c r="H91" s="4">
        <f>'M&amp;A Analysis'!H23</f>
        <v>437.32030721699817</v>
      </c>
    </row>
    <row r="92" spans="1:8" x14ac:dyDescent="0.35">
      <c r="A92" t="s">
        <v>377</v>
      </c>
      <c r="B92" s="26">
        <f>'M&amp;A Analysis'!B29</f>
        <v>7.452611133457804</v>
      </c>
      <c r="C92" s="26">
        <f>'M&amp;A Analysis'!C29</f>
        <v>7.7791709644171663</v>
      </c>
      <c r="D92" s="26">
        <f>'M&amp;A Analysis'!D29</f>
        <v>8.1057307953765285</v>
      </c>
      <c r="E92" s="48">
        <f>'M&amp;A Analysis'!E29</f>
        <v>8.4322906263358881</v>
      </c>
      <c r="F92" s="26">
        <f>'M&amp;A Analysis'!F29</f>
        <v>8.7588504572952495</v>
      </c>
      <c r="G92" s="26">
        <f>'M&amp;A Analysis'!G29</f>
        <v>9.0854102882546108</v>
      </c>
      <c r="H92" s="26">
        <f>'M&amp;A Analysis'!H29</f>
        <v>9.411970119213974</v>
      </c>
    </row>
    <row r="93" spans="1:8" x14ac:dyDescent="0.35">
      <c r="A93" t="s">
        <v>420</v>
      </c>
      <c r="B93" s="49">
        <v>3.9769150983395063E-2</v>
      </c>
      <c r="C93" s="49">
        <v>3.817678264404023E-2</v>
      </c>
      <c r="D93" s="49">
        <v>3.6584414304685176E-2</v>
      </c>
      <c r="E93" s="50">
        <v>3.4992045965330121E-2</v>
      </c>
      <c r="F93" s="49">
        <v>3.3399677625975288E-2</v>
      </c>
      <c r="G93" s="49">
        <v>3.1807309286620233E-2</v>
      </c>
      <c r="H93" s="49">
        <v>3.0214940947264957E-2</v>
      </c>
    </row>
    <row r="94" spans="1:8" x14ac:dyDescent="0.35">
      <c r="A94" t="s">
        <v>330</v>
      </c>
      <c r="B94" s="51">
        <v>1.5033551491994519</v>
      </c>
      <c r="C94" s="51">
        <v>1.5278363100286403</v>
      </c>
      <c r="D94" s="51">
        <v>1.5523174708578287</v>
      </c>
      <c r="E94" s="52">
        <v>1.5767986316870171</v>
      </c>
      <c r="F94" s="51">
        <v>1.6012797925162054</v>
      </c>
      <c r="G94" s="51">
        <v>1.6257609533453945</v>
      </c>
      <c r="H94" s="51">
        <v>1.6502421141745829</v>
      </c>
    </row>
    <row r="95" spans="1:8" x14ac:dyDescent="0.35">
      <c r="A95" t="s">
        <v>327</v>
      </c>
      <c r="B95" s="53">
        <v>68.506555719371477</v>
      </c>
      <c r="C95" s="53">
        <v>51.453671322791479</v>
      </c>
      <c r="D95" s="53">
        <v>34.400786926211481</v>
      </c>
      <c r="E95" s="54">
        <v>17.347902529631483</v>
      </c>
      <c r="F95" s="53">
        <v>0.29501813305148517</v>
      </c>
      <c r="G95" s="53">
        <v>-16.757866263528513</v>
      </c>
      <c r="H95" s="53">
        <v>-33.810750660108567</v>
      </c>
    </row>
    <row r="96" spans="1:8" x14ac:dyDescent="0.35">
      <c r="A96" t="s">
        <v>226</v>
      </c>
      <c r="B96" s="53">
        <v>168.49605422598205</v>
      </c>
      <c r="C96" s="53">
        <v>168.24291304815068</v>
      </c>
      <c r="D96" s="53">
        <v>167.98977187031932</v>
      </c>
      <c r="E96" s="54">
        <v>167.73663069248795</v>
      </c>
      <c r="F96" s="53">
        <v>167.48348951465658</v>
      </c>
      <c r="G96" s="53">
        <v>167.23034833682516</v>
      </c>
      <c r="H96" s="53">
        <v>166.97720715899379</v>
      </c>
    </row>
    <row r="100" spans="1:7" x14ac:dyDescent="0.35">
      <c r="A100" s="3" t="s">
        <v>258</v>
      </c>
    </row>
    <row r="101" spans="1:7" ht="15" thickBot="1" x14ac:dyDescent="0.4">
      <c r="A101" s="8" t="s">
        <v>421</v>
      </c>
      <c r="B101" s="29">
        <v>0.5</v>
      </c>
      <c r="C101" s="29">
        <v>0.75</v>
      </c>
      <c r="D101" s="29">
        <v>1</v>
      </c>
      <c r="E101" s="29">
        <v>1.25</v>
      </c>
      <c r="F101" s="14"/>
      <c r="G101" s="14"/>
    </row>
    <row r="102" spans="1:7" x14ac:dyDescent="0.35">
      <c r="A102" t="s">
        <v>404</v>
      </c>
      <c r="B102" s="4">
        <f>B101*'Synergies and Integration'!F56</f>
        <v>7.3803780855955159</v>
      </c>
      <c r="C102" s="4">
        <f>C101*'Synergies and Integration'!F56</f>
        <v>11.070567128393273</v>
      </c>
      <c r="D102" s="4">
        <f>D101*'Synergies and Integration'!F56</f>
        <v>14.760756171191032</v>
      </c>
      <c r="E102" s="4">
        <f>E101*'Synergies and Integration'!F56</f>
        <v>18.450945213988788</v>
      </c>
    </row>
    <row r="103" spans="1:7" x14ac:dyDescent="0.35">
      <c r="A103" t="s">
        <v>405</v>
      </c>
      <c r="B103" s="4">
        <f>B101*'Synergies and Integration'!F57</f>
        <v>23.37119727105247</v>
      </c>
      <c r="C103" s="4">
        <f>C101*'Synergies and Integration'!F57</f>
        <v>35.056795906578706</v>
      </c>
      <c r="D103" s="4">
        <f>D101*'Synergies and Integration'!F57</f>
        <v>46.74239454210494</v>
      </c>
      <c r="E103" s="4">
        <f>E101*'Synergies and Integration'!F57</f>
        <v>58.427993177631173</v>
      </c>
    </row>
    <row r="104" spans="1:7" x14ac:dyDescent="0.35">
      <c r="A104" t="s">
        <v>422</v>
      </c>
      <c r="B104" s="4">
        <f>B102+B103</f>
        <v>30.751575356647987</v>
      </c>
      <c r="C104" s="4">
        <f t="shared" ref="C104:E104" si="0">C102+C103</f>
        <v>46.127363034971978</v>
      </c>
      <c r="D104" s="4">
        <f t="shared" si="0"/>
        <v>61.503150713295973</v>
      </c>
      <c r="E104" s="4">
        <f t="shared" si="0"/>
        <v>76.878938391619954</v>
      </c>
    </row>
    <row r="105" spans="1:7" x14ac:dyDescent="0.35">
      <c r="A105" t="s">
        <v>423</v>
      </c>
      <c r="B105" s="49">
        <v>-6.2682395396979063E-3</v>
      </c>
      <c r="C105" s="49">
        <v>1.4361903212816163E-2</v>
      </c>
      <c r="D105" s="49">
        <v>3.4992045965330121E-2</v>
      </c>
      <c r="E105" s="49">
        <v>5.5622188717843857E-2</v>
      </c>
    </row>
    <row r="106" spans="1:7" x14ac:dyDescent="0.35">
      <c r="A106" t="s">
        <v>330</v>
      </c>
      <c r="B106" s="51">
        <f>B63</f>
        <v>1.5767986316870171</v>
      </c>
      <c r="C106" s="51">
        <f>B63</f>
        <v>1.5767986316870171</v>
      </c>
      <c r="D106" s="51">
        <f>B63</f>
        <v>1.5767986316870171</v>
      </c>
      <c r="E106" s="51">
        <f>B63</f>
        <v>1.5767986316870171</v>
      </c>
    </row>
    <row r="107" spans="1:7" x14ac:dyDescent="0.35">
      <c r="A107" t="s">
        <v>331</v>
      </c>
      <c r="B107" s="53">
        <v>-41.18605456952929</v>
      </c>
      <c r="C107" s="53">
        <v>-11.919076019948875</v>
      </c>
      <c r="D107" s="53">
        <v>17.347902529631483</v>
      </c>
      <c r="E107" s="53">
        <v>46.614881079211898</v>
      </c>
    </row>
    <row r="108" spans="1:7" x14ac:dyDescent="0.35">
      <c r="A108" t="s">
        <v>226</v>
      </c>
      <c r="B108" s="53">
        <v>107.22875290417102</v>
      </c>
      <c r="C108" s="53">
        <v>137.48269179832965</v>
      </c>
      <c r="D108" s="53">
        <v>167.73663069248795</v>
      </c>
      <c r="E108" s="53">
        <v>197.99056958664659</v>
      </c>
    </row>
    <row r="109" spans="1:7" x14ac:dyDescent="0.35">
      <c r="A109" t="s">
        <v>251</v>
      </c>
      <c r="B109" s="53">
        <v>345.67421719935368</v>
      </c>
      <c r="C109" s="53">
        <v>374.94119574893409</v>
      </c>
      <c r="D109" s="53">
        <v>404.20817429851445</v>
      </c>
      <c r="E109" s="53">
        <v>433.47515284809487</v>
      </c>
    </row>
    <row r="110" spans="1:7" x14ac:dyDescent="0.35">
      <c r="A110" t="s">
        <v>253</v>
      </c>
      <c r="B110" s="53">
        <v>320.64954619882968</v>
      </c>
      <c r="C110" s="53">
        <v>538.56347747203517</v>
      </c>
      <c r="D110" s="53">
        <v>756.47740874524038</v>
      </c>
      <c r="E110" s="53">
        <v>974.39134001844604</v>
      </c>
    </row>
    <row r="114" spans="1:6" x14ac:dyDescent="0.35">
      <c r="A114" s="3" t="s">
        <v>259</v>
      </c>
    </row>
    <row r="115" spans="1:6" ht="15" thickBot="1" x14ac:dyDescent="0.4">
      <c r="A115" s="8" t="s">
        <v>187</v>
      </c>
      <c r="B115" s="29">
        <v>1</v>
      </c>
      <c r="C115" s="29">
        <v>0.75</v>
      </c>
      <c r="D115" s="29">
        <v>0.5</v>
      </c>
      <c r="E115" s="29">
        <v>0.25</v>
      </c>
      <c r="F115" s="29">
        <v>0</v>
      </c>
    </row>
    <row r="116" spans="1:6" x14ac:dyDescent="0.35">
      <c r="A116" t="s">
        <v>187</v>
      </c>
      <c r="B116" s="4">
        <f>B115*'M&amp;A Analysis'!B16</f>
        <v>438.18787448657179</v>
      </c>
      <c r="C116" s="4">
        <f>C115*'M&amp;A Analysis'!B16</f>
        <v>328.64090586492887</v>
      </c>
      <c r="D116" s="4">
        <f>D115*'M&amp;A Analysis'!B16</f>
        <v>219.09393724328589</v>
      </c>
      <c r="E116" s="4">
        <f>E115*'M&amp;A Analysis'!B16</f>
        <v>109.54696862164295</v>
      </c>
      <c r="F116" s="4">
        <f>F115*'M&amp;A Analysis'!B16</f>
        <v>0</v>
      </c>
    </row>
    <row r="117" spans="1:6" x14ac:dyDescent="0.35">
      <c r="A117" t="s">
        <v>188</v>
      </c>
      <c r="B117" s="4">
        <f>(1-B115)*'M&amp;A Analysis'!B16</f>
        <v>0</v>
      </c>
      <c r="C117" s="4">
        <f>(1-C115)*'M&amp;A Analysis'!B16</f>
        <v>109.54696862164295</v>
      </c>
      <c r="D117" s="4">
        <f>(1-D115)*'M&amp;A Analysis'!B16</f>
        <v>219.09393724328589</v>
      </c>
      <c r="E117" s="4">
        <f>(1-E115)*'M&amp;A Analysis'!B16</f>
        <v>328.64090586492887</v>
      </c>
      <c r="F117" s="4">
        <f>(1-F115)*'M&amp;A Analysis'!B16</f>
        <v>438.18787448657179</v>
      </c>
    </row>
    <row r="118" spans="1:6" x14ac:dyDescent="0.35">
      <c r="A118" t="s">
        <v>189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</row>
    <row r="119" spans="1:6" x14ac:dyDescent="0.35">
      <c r="A119" t="s">
        <v>260</v>
      </c>
      <c r="B119" s="4">
        <f>B117</f>
        <v>0</v>
      </c>
      <c r="C119" s="4">
        <f t="shared" ref="C119:F119" si="1">C117</f>
        <v>109.54696862164295</v>
      </c>
      <c r="D119" s="4">
        <f t="shared" si="1"/>
        <v>219.09393724328589</v>
      </c>
      <c r="E119" s="4">
        <f t="shared" si="1"/>
        <v>328.64090586492887</v>
      </c>
      <c r="F119" s="4">
        <f t="shared" si="1"/>
        <v>438.18787448657179</v>
      </c>
    </row>
    <row r="120" spans="1:6" x14ac:dyDescent="0.35">
      <c r="A120" t="s">
        <v>194</v>
      </c>
      <c r="B120" s="4">
        <f>B119*'M&amp;A Analysis'!B39</f>
        <v>0</v>
      </c>
      <c r="C120" s="4">
        <f>C119*'M&amp;A Analysis'!B39</f>
        <v>7.3067828070635841</v>
      </c>
      <c r="D120" s="4">
        <f>D119*'M&amp;A Analysis'!B39</f>
        <v>14.613565614127168</v>
      </c>
      <c r="E120" s="4">
        <f>E119*'M&amp;A Analysis'!B39</f>
        <v>21.920348421190752</v>
      </c>
      <c r="F120" s="4">
        <f>F119*'M&amp;A Analysis'!B39</f>
        <v>29.227131228254336</v>
      </c>
    </row>
    <row r="121" spans="1:6" x14ac:dyDescent="0.35">
      <c r="A121" t="s">
        <v>419</v>
      </c>
      <c r="B121" s="53">
        <v>-96.187874486571786</v>
      </c>
      <c r="C121" s="53">
        <v>13.359094135071132</v>
      </c>
      <c r="D121" s="53">
        <v>122.90606275671411</v>
      </c>
      <c r="E121" s="53">
        <v>232.45303137835705</v>
      </c>
      <c r="F121" s="53">
        <v>342</v>
      </c>
    </row>
    <row r="122" spans="1:6" x14ac:dyDescent="0.35">
      <c r="A122" t="s">
        <v>330</v>
      </c>
      <c r="B122" s="51">
        <f>(('M&amp;A Analysis'!B52+B117)-('M&amp;A Analysis'!B51-B116))/'M&amp;A Analysis'!C54</f>
        <v>1.5767986316870171</v>
      </c>
      <c r="C122" s="51">
        <f>(('M&amp;A Analysis'!B52+C117)-('M&amp;A Analysis'!B51-C116))/'M&amp;A Analysis'!C54</f>
        <v>1.5767986316870171</v>
      </c>
      <c r="D122" s="51">
        <f>(('M&amp;A Analysis'!B52+D117)-('M&amp;A Analysis'!B51-D116))/'M&amp;A Analysis'!C54</f>
        <v>1.5767986316870171</v>
      </c>
      <c r="E122" s="51">
        <f>(('M&amp;A Analysis'!B52+E117)-('M&amp;A Analysis'!B51-E116))/'M&amp;A Analysis'!C54</f>
        <v>1.5767986316870171</v>
      </c>
      <c r="F122" s="51">
        <f>(('M&amp;A Analysis'!B52+F117)-('M&amp;A Analysis'!B51-F116))/'M&amp;A Analysis'!C54</f>
        <v>1.5767986316870171</v>
      </c>
    </row>
    <row r="123" spans="1:6" x14ac:dyDescent="0.35">
      <c r="A123" t="s">
        <v>423</v>
      </c>
      <c r="B123" s="49">
        <f>((SUM('Accretion &amp; Dilution'!D75:D78)-'Accretion &amp; Dilution'!D79-(B120*(1-Valuation!B10)))/'Accretion &amp; Dilution'!D84)/'Accretion &amp; Dilution'!D85-1</f>
        <v>7.6065026495850452E-2</v>
      </c>
      <c r="C123" s="49">
        <f>((SUM('Accretion &amp; Dilution'!D75:D78)-'Accretion &amp; Dilution'!D79-(C120*(1-Valuation!B10)))/'Accretion &amp; Dilution'!D84)/'Accretion &amp; Dilution'!D85-1</f>
        <v>5.5528536230590397E-2</v>
      </c>
      <c r="D123" s="49">
        <f>((SUM('Accretion &amp; Dilution'!D75:D78)-'Accretion &amp; Dilution'!D79-(D120*(1-Valuation!B10)))/'Accretion &amp; Dilution'!D84)/'Accretion &amp; Dilution'!D85-1</f>
        <v>3.4992045965330121E-2</v>
      </c>
      <c r="E123" s="49">
        <f>((SUM('Accretion &amp; Dilution'!D75:D78)-'Accretion &amp; Dilution'!D79-(E120*(1-Valuation!B10)))/'Accretion &amp; Dilution'!D84)/'Accretion &amp; Dilution'!D85-1</f>
        <v>1.4455555700070066E-2</v>
      </c>
      <c r="F123" s="49">
        <f>((SUM('Accretion &amp; Dilution'!D75:D78)-'Accretion &amp; Dilution'!D79-(F120*(1-Valuation!B10)))/'Accretion &amp; Dilution'!D84)/'Accretion &amp; Dilution'!D85-1</f>
        <v>-6.0809345651899882E-3</v>
      </c>
    </row>
    <row r="124" spans="1:6" x14ac:dyDescent="0.35">
      <c r="A124" t="s">
        <v>226</v>
      </c>
      <c r="B124" s="53">
        <v>169.92757006492081</v>
      </c>
      <c r="C124" s="53">
        <v>168.83210037870435</v>
      </c>
      <c r="D124" s="53">
        <v>167.73663069248795</v>
      </c>
      <c r="E124" s="53">
        <v>166.64116100627149</v>
      </c>
      <c r="F124" s="53">
        <v>165.54569132005508</v>
      </c>
    </row>
    <row r="125" spans="1:6" x14ac:dyDescent="0.35">
      <c r="A125" t="s">
        <v>331</v>
      </c>
      <c r="B125" s="53">
        <v>19.363416994087856</v>
      </c>
      <c r="C125" s="53">
        <v>18.35565976185967</v>
      </c>
      <c r="D125" s="53">
        <v>17.347902529631483</v>
      </c>
      <c r="E125" s="53">
        <v>16.340145297403296</v>
      </c>
      <c r="F125" s="53">
        <v>15.33238806517511</v>
      </c>
    </row>
    <row r="126" spans="1:6" x14ac:dyDescent="0.35">
      <c r="B126" s="4"/>
      <c r="D126" s="12"/>
      <c r="F126" s="4"/>
    </row>
    <row r="129" spans="1:10" x14ac:dyDescent="0.35">
      <c r="A129" s="3" t="s">
        <v>267</v>
      </c>
    </row>
    <row r="130" spans="1:10" x14ac:dyDescent="0.35">
      <c r="A130" t="s">
        <v>268</v>
      </c>
      <c r="B130" s="40" t="s">
        <v>428</v>
      </c>
      <c r="C130" s="40"/>
      <c r="D130" s="40"/>
      <c r="E130" s="40"/>
      <c r="F130" s="40"/>
      <c r="G130" s="40"/>
      <c r="H130" s="40"/>
      <c r="I130" s="40"/>
      <c r="J130" s="40"/>
    </row>
    <row r="131" spans="1:10" x14ac:dyDescent="0.35">
      <c r="A131" t="s">
        <v>269</v>
      </c>
      <c r="B131" s="40" t="s">
        <v>427</v>
      </c>
      <c r="C131" s="40"/>
      <c r="D131" s="40"/>
      <c r="E131" s="40"/>
      <c r="F131" s="40"/>
      <c r="G131" s="40"/>
      <c r="H131" s="40"/>
      <c r="I131" s="40"/>
      <c r="J131" s="40"/>
    </row>
    <row r="132" spans="1:10" x14ac:dyDescent="0.35">
      <c r="A132" t="s">
        <v>270</v>
      </c>
      <c r="B132" s="40" t="s">
        <v>429</v>
      </c>
      <c r="C132" s="40"/>
      <c r="D132" s="40"/>
      <c r="E132" s="40"/>
      <c r="F132" s="40"/>
      <c r="G132" s="40"/>
      <c r="H132" s="40"/>
      <c r="I132" s="40"/>
      <c r="J132" s="40"/>
    </row>
  </sheetData>
  <mergeCells count="3">
    <mergeCell ref="B130:J130"/>
    <mergeCell ref="B131:J131"/>
    <mergeCell ref="B132:J132"/>
  </mergeCells>
  <pageMargins left="0.7" right="0.7" top="0.75" bottom="0.75" header="0.3" footer="0.3"/>
  <pageSetup paperSize="9" orientation="portrait" r:id="rId1"/>
  <ignoredErrors>
    <ignoredError sqref="B5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 &amp; Index</vt:lpstr>
      <vt:lpstr>B&amp;M Operating Model</vt:lpstr>
      <vt:lpstr>Poundland Operating Model</vt:lpstr>
      <vt:lpstr>Valuation</vt:lpstr>
      <vt:lpstr>M&amp;A Analysis</vt:lpstr>
      <vt:lpstr>Synergies and Integration</vt:lpstr>
      <vt:lpstr>Accretion &amp; Dilution</vt:lpstr>
      <vt:lpstr>Summary &amp; Sensitivities</vt:lpstr>
      <vt:lpstr>'M&amp;A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Pugh</dc:creator>
  <cp:lastModifiedBy>Jacob Pugh</cp:lastModifiedBy>
  <dcterms:created xsi:type="dcterms:W3CDTF">2026-09-01T14:01:18Z</dcterms:created>
  <dcterms:modified xsi:type="dcterms:W3CDTF">2026-09-12T23:18:21Z</dcterms:modified>
</cp:coreProperties>
</file>